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8_{DAFF52B9-1622-4203-B9C3-600F95688DD8}" xr6:coauthVersionLast="47" xr6:coauthVersionMax="47" xr10:uidLastSave="{00000000-0000-0000-0000-000000000000}"/>
  <bookViews>
    <workbookView xWindow="1500" yWindow="1500" windowWidth="17280" windowHeight="8880" activeTab="3" xr2:uid="{D7F7755C-2046-4F61-95AC-51DD1AE827CD}"/>
  </bookViews>
  <sheets>
    <sheet name="StudentData" sheetId="1" r:id="rId1"/>
    <sheet name="FeeStructure" sheetId="2" r:id="rId2"/>
    <sheet name="SubjectMarks" sheetId="3" r:id="rId3"/>
    <sheet name="Practi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4" l="1" a="1"/>
  <c r="A2" i="4" s="1"/>
  <c r="B2" i="4" s="1" a="1"/>
  <c r="B2" i="4" l="1"/>
  <c r="H2" i="4" s="1" a="1"/>
  <c r="H2" i="4" s="1"/>
  <c r="D2" i="4" a="1"/>
  <c r="D2" i="4" s="1"/>
  <c r="B6" i="4" a="1"/>
  <c r="B5" i="4" a="1"/>
  <c r="B4" i="4" a="1"/>
  <c r="B3" i="4" a="1"/>
  <c r="G2" i="4" l="1"/>
  <c r="B3" i="4"/>
  <c r="H3" i="4" s="1" a="1"/>
  <c r="H3" i="4" s="1"/>
  <c r="D3" i="4" a="1"/>
  <c r="D3" i="4" s="1"/>
  <c r="G3" i="4" s="1"/>
  <c r="B4" i="4"/>
  <c r="H4" i="4" s="1" a="1"/>
  <c r="H4" i="4" s="1"/>
  <c r="D4" i="4" a="1"/>
  <c r="B5" i="4"/>
  <c r="H5" i="4" s="1" a="1"/>
  <c r="H5" i="4" s="1"/>
  <c r="D5" i="4" a="1"/>
  <c r="D5" i="4" s="1"/>
  <c r="G5" i="4" s="1"/>
  <c r="B6" i="4"/>
  <c r="H6" i="4" s="1" a="1"/>
  <c r="H6" i="4" s="1"/>
  <c r="D6" i="4" a="1"/>
  <c r="D4" i="4" l="1"/>
  <c r="G4" i="4" s="1"/>
  <c r="D6" i="4"/>
  <c r="G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<sst xmlns="http://schemas.openxmlformats.org/spreadsheetml/2006/main" count="49" uniqueCount="27">
  <si>
    <t>Student_ID</t>
  </si>
  <si>
    <t>Name</t>
  </si>
  <si>
    <t>Class</t>
  </si>
  <si>
    <t>Subject</t>
  </si>
  <si>
    <t>Marks</t>
  </si>
  <si>
    <t>Region</t>
  </si>
  <si>
    <t>S101</t>
  </si>
  <si>
    <t>Asha</t>
  </si>
  <si>
    <t>Math</t>
  </si>
  <si>
    <t>North</t>
  </si>
  <si>
    <t>S102</t>
  </si>
  <si>
    <t>Rahul</t>
  </si>
  <si>
    <t>Science</t>
  </si>
  <si>
    <t>South</t>
  </si>
  <si>
    <t>S103</t>
  </si>
  <si>
    <t>Meena</t>
  </si>
  <si>
    <t>East</t>
  </si>
  <si>
    <t>S104</t>
  </si>
  <si>
    <t>John</t>
  </si>
  <si>
    <t>English</t>
  </si>
  <si>
    <t>West</t>
  </si>
  <si>
    <t>S105</t>
  </si>
  <si>
    <t>Priya</t>
  </si>
  <si>
    <t>Tuition_Fee</t>
  </si>
  <si>
    <t>Exam_Fee</t>
  </si>
  <si>
    <t>Library_Fee</t>
  </si>
  <si>
    <t>Total_Fee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</si>
</sst>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48B86C-B9DA-4CEE-A75C-869CF265171B}" name="Table1" displayName="Table1" ref="A1:F6" totalsRowShown="0" headerRowDxfId="0">
  <autoFilter ref="A1:F6" xr:uid="{CF48B86C-B9DA-4CEE-A75C-869CF265171B}"/>
  <tableColumns count="6">
    <tableColumn id="1" xr3:uid="{69A38FA6-2314-4739-883E-090901DDC9F9}" name="Student_ID"/>
    <tableColumn id="2" xr3:uid="{D4593DEC-52FE-4FF7-81A0-84D31372FF7C}" name="Name"/>
    <tableColumn id="3" xr3:uid="{A7428762-5F8E-4251-ACF7-48271232320C}" name="Class"/>
    <tableColumn id="4" xr3:uid="{D5533BDC-41C1-46C0-AA71-315A650F5CF5}" name="Subject"/>
    <tableColumn id="5" xr3:uid="{3617D2A6-0E94-4386-BDF5-CE418CACCF82}" name="Marks"/>
    <tableColumn id="6" xr3:uid="{A8A53725-0CAF-4D20-9A97-D10FD6DF560B}" name="Reg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1DA228-E5B3-49BF-8C97-435624F40806}" name="Table2" displayName="Table2" ref="A1:D3" totalsRowShown="0">
  <autoFilter ref="A1:D3" xr:uid="{1D1DA228-E5B3-49BF-8C97-435624F40806}"/>
  <tableColumns count="4">
    <tableColumn id="1" xr3:uid="{0E5A4C9D-369B-4BCA-B74C-28B399691276}" name="Class"/>
    <tableColumn id="2" xr3:uid="{FAB79D87-6C46-448B-ACB0-7B4430BE1F6E}" name="Tuition_Fee"/>
    <tableColumn id="3" xr3:uid="{A05D47FB-79F5-4ABF-B6E9-561B5B62F43E}" name="Exam_Fee"/>
    <tableColumn id="4" xr3:uid="{03E3A5F8-4077-4929-8FC2-0748CDF227FE}" name="Library_Fe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21DB3B-DA85-4832-9E4A-C5AECD2B274F}" name="Table3" displayName="Table3" ref="A1:F4" totalsRowShown="0">
  <autoFilter ref="A1:F4" xr:uid="{F921DB3B-DA85-4832-9E4A-C5AECD2B274F}"/>
  <tableColumns count="6">
    <tableColumn id="1" xr3:uid="{5BBBBE5A-810D-4F42-A771-CE918F3662EC}" name="Subject"/>
    <tableColumn id="2" xr3:uid="{D0216288-5D96-41DD-8820-F7FB85D9516E}" name="Asha"/>
    <tableColumn id="3" xr3:uid="{A3C445DE-6DE0-44F4-B8DF-4E2D7679AB08}" name="Rahul"/>
    <tableColumn id="4" xr3:uid="{FB2848A5-E405-4FC7-93BD-C114F8D0BFB8}" name="Meena"/>
    <tableColumn id="5" xr3:uid="{2FFD4557-8864-4663-9F66-1F5D245D6EE7}" name="John"/>
    <tableColumn id="6" xr3:uid="{7C7F386D-8642-4DE1-B092-E26955A2C65E}" name="Priy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0E1DF-8F1F-4421-958B-BEA1C4DB3627}">
  <dimension ref="A1:F6"/>
  <sheetViews>
    <sheetView workbookViewId="0">
      <selection activeCell="J9" sqref="J9"/>
    </sheetView>
  </sheetViews>
  <sheetFormatPr defaultRowHeight="14.4" x14ac:dyDescent="0.3"/>
  <cols>
    <col min="1" max="1" width="12.33203125" customWidth="1"/>
    <col min="4" max="4" width="9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10</v>
      </c>
      <c r="D2" t="s">
        <v>8</v>
      </c>
      <c r="E2">
        <v>85</v>
      </c>
      <c r="F2" t="s">
        <v>9</v>
      </c>
    </row>
    <row r="3" spans="1:6" x14ac:dyDescent="0.3">
      <c r="A3" t="s">
        <v>10</v>
      </c>
      <c r="B3" t="s">
        <v>11</v>
      </c>
      <c r="C3">
        <v>10</v>
      </c>
      <c r="D3" t="s">
        <v>12</v>
      </c>
      <c r="E3">
        <v>78</v>
      </c>
      <c r="F3" t="s">
        <v>13</v>
      </c>
    </row>
    <row r="4" spans="1:6" x14ac:dyDescent="0.3">
      <c r="A4" t="s">
        <v>14</v>
      </c>
      <c r="B4" t="s">
        <v>15</v>
      </c>
      <c r="C4">
        <v>11</v>
      </c>
      <c r="D4" t="s">
        <v>8</v>
      </c>
      <c r="E4">
        <v>92</v>
      </c>
      <c r="F4" t="s">
        <v>16</v>
      </c>
    </row>
    <row r="5" spans="1:6" x14ac:dyDescent="0.3">
      <c r="A5" t="s">
        <v>17</v>
      </c>
      <c r="B5" t="s">
        <v>18</v>
      </c>
      <c r="C5">
        <v>11</v>
      </c>
      <c r="D5" t="s">
        <v>19</v>
      </c>
      <c r="E5">
        <v>74</v>
      </c>
      <c r="F5" t="s">
        <v>20</v>
      </c>
    </row>
    <row r="6" spans="1:6" x14ac:dyDescent="0.3">
      <c r="A6" t="s">
        <v>21</v>
      </c>
      <c r="B6" t="s">
        <v>22</v>
      </c>
      <c r="C6">
        <v>10</v>
      </c>
      <c r="D6" t="s">
        <v>12</v>
      </c>
      <c r="E6">
        <v>88</v>
      </c>
      <c r="F6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3AC5-139C-4D05-896A-B3C4F16B300E}">
  <dimension ref="A1:D3"/>
  <sheetViews>
    <sheetView workbookViewId="0">
      <selection activeCell="E5" sqref="E5"/>
    </sheetView>
  </sheetViews>
  <sheetFormatPr defaultRowHeight="14.4" x14ac:dyDescent="0.3"/>
  <cols>
    <col min="2" max="2" width="12.44140625" customWidth="1"/>
    <col min="3" max="3" width="11.21875" customWidth="1"/>
    <col min="4" max="4" width="12.33203125" customWidth="1"/>
  </cols>
  <sheetData>
    <row r="1" spans="1:4" x14ac:dyDescent="0.3">
      <c r="A1" t="s">
        <v>2</v>
      </c>
      <c r="B1" t="s">
        <v>23</v>
      </c>
      <c r="C1" t="s">
        <v>24</v>
      </c>
      <c r="D1" t="s">
        <v>25</v>
      </c>
    </row>
    <row r="2" spans="1:4" x14ac:dyDescent="0.3">
      <c r="A2">
        <v>10</v>
      </c>
      <c r="B2">
        <v>12000</v>
      </c>
      <c r="C2">
        <v>1500</v>
      </c>
      <c r="D2">
        <v>800</v>
      </c>
    </row>
    <row r="3" spans="1:4" x14ac:dyDescent="0.3">
      <c r="A3">
        <v>11</v>
      </c>
      <c r="B3">
        <v>15000</v>
      </c>
      <c r="C3">
        <v>2000</v>
      </c>
      <c r="D3">
        <v>1000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E884-94FB-457E-9B6F-41488F498647}">
  <dimension ref="A1:F4"/>
  <sheetViews>
    <sheetView workbookViewId="0">
      <selection activeCell="F17" sqref="F17"/>
    </sheetView>
  </sheetViews>
  <sheetFormatPr defaultRowHeight="14.4" x14ac:dyDescent="0.3"/>
  <sheetData>
    <row r="1" spans="1:6" x14ac:dyDescent="0.3">
      <c r="A1" t="s">
        <v>3</v>
      </c>
      <c r="B1" t="s">
        <v>7</v>
      </c>
      <c r="C1" t="s">
        <v>11</v>
      </c>
      <c r="D1" t="s">
        <v>15</v>
      </c>
      <c r="E1" t="s">
        <v>18</v>
      </c>
      <c r="F1" t="s">
        <v>22</v>
      </c>
    </row>
    <row r="2" spans="1:6" x14ac:dyDescent="0.3">
      <c r="A2" t="s">
        <v>8</v>
      </c>
      <c r="B2">
        <v>85</v>
      </c>
      <c r="C2">
        <v>0</v>
      </c>
      <c r="D2">
        <v>92</v>
      </c>
      <c r="E2">
        <v>0</v>
      </c>
      <c r="F2">
        <v>0</v>
      </c>
    </row>
    <row r="3" spans="1:6" x14ac:dyDescent="0.3">
      <c r="A3" t="s">
        <v>12</v>
      </c>
      <c r="B3">
        <v>0</v>
      </c>
      <c r="C3">
        <v>78</v>
      </c>
      <c r="D3">
        <v>0</v>
      </c>
      <c r="E3">
        <v>0</v>
      </c>
      <c r="F3">
        <v>88</v>
      </c>
    </row>
    <row r="4" spans="1:6" x14ac:dyDescent="0.3">
      <c r="A4" t="s">
        <v>19</v>
      </c>
      <c r="B4">
        <v>0</v>
      </c>
      <c r="C4">
        <v>0</v>
      </c>
      <c r="D4">
        <v>0</v>
      </c>
      <c r="E4">
        <v>74</v>
      </c>
      <c r="F4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7918D-A59F-45B7-A35C-4DB3A25261CA}">
  <dimension ref="A1:J6"/>
  <sheetViews>
    <sheetView tabSelected="1" topLeftCell="A2" workbookViewId="0">
      <selection activeCell="D9" sqref="D9"/>
    </sheetView>
  </sheetViews>
  <sheetFormatPr defaultRowHeight="14.4" x14ac:dyDescent="0.3"/>
  <cols>
    <col min="1" max="1" width="11.44140625" bestFit="1" customWidth="1"/>
    <col min="2" max="2" width="6.44140625" bestFit="1" customWidth="1"/>
    <col min="3" max="3" width="5.6640625" bestFit="1" customWidth="1"/>
    <col min="4" max="4" width="12" bestFit="1" customWidth="1"/>
    <col min="5" max="5" width="10.33203125" bestFit="1" customWidth="1"/>
    <col min="6" max="6" width="11.6640625" bestFit="1" customWidth="1"/>
  </cols>
  <sheetData>
    <row r="1" spans="1:10" ht="15.6" x14ac:dyDescent="0.3">
      <c r="A1" s="2" t="s">
        <v>0</v>
      </c>
      <c r="B1" s="2" t="s">
        <v>1</v>
      </c>
      <c r="C1" s="2" t="s">
        <v>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8</v>
      </c>
      <c r="I1" s="2" t="s">
        <v>12</v>
      </c>
      <c r="J1" s="2" t="s">
        <v>19</v>
      </c>
    </row>
    <row r="2" spans="1:10" x14ac:dyDescent="0.3">
      <c r="A2" t="str" cm="1">
        <f t="array" ref="A2:A6">Table1[Student_ID]</f>
        <v>S101</v>
      </c>
      <c r="B2" t="str" cm="1">
        <f t="array" ref="B2:C2">VLOOKUP(Practice!A2,Table1[[Student_ID]:[Class]],{2,3},0)</f>
        <v>Asha</v>
      </c>
      <c r="C2">
        <v>10</v>
      </c>
      <c r="D2" cm="1">
        <f t="array" ref="D2:F2">_xlfn.XLOOKUP(C2, Table2[Class], Table2[[Tuition_Fee]:[Library_Fee]], "Invalid", 0)</f>
        <v>12000</v>
      </c>
      <c r="E2">
        <v>1500</v>
      </c>
      <c r="F2">
        <v>800</v>
      </c>
      <c r="G2">
        <f>SUM(_xlfn.ANCHORARRAY(D2))</f>
        <v>14300</v>
      </c>
      <c r="H2" cm="1">
        <f t="array" ref="H2:J2">TRANSPOSE(_xlfn.XLOOKUP(B2, Table3[#Headers], Table3[], "Not Found", 0))</f>
        <v>85</v>
      </c>
      <c r="I2">
        <v>0</v>
      </c>
      <c r="J2">
        <v>0</v>
      </c>
    </row>
    <row r="3" spans="1:10" x14ac:dyDescent="0.3">
      <c r="A3" t="str">
        <v>S102</v>
      </c>
      <c r="B3" t="str" cm="1">
        <f t="array" ref="B3:C3">VLOOKUP(Practice!A3,Table1[[Student_ID]:[Class]],{2,3},0)</f>
        <v>Rahul</v>
      </c>
      <c r="C3">
        <v>10</v>
      </c>
      <c r="D3" cm="1">
        <f t="array" ref="D3:F3">_xlfn.XLOOKUP(C3, Table2[Class], Table2[[Tuition_Fee]:[Library_Fee]], "Invalid", 0)</f>
        <v>12000</v>
      </c>
      <c r="E3">
        <v>1500</v>
      </c>
      <c r="F3">
        <v>800</v>
      </c>
      <c r="G3">
        <f t="shared" ref="G3:G6" si="0">SUM(_xlfn.ANCHORARRAY(D3))</f>
        <v>14300</v>
      </c>
      <c r="H3" cm="1">
        <f t="array" ref="H3:J3">TRANSPOSE(_xlfn.XLOOKUP(B3, Table3[#Headers], Table3[], "Not Found", 0))</f>
        <v>0</v>
      </c>
      <c r="I3">
        <v>78</v>
      </c>
      <c r="J3">
        <v>0</v>
      </c>
    </row>
    <row r="4" spans="1:10" x14ac:dyDescent="0.3">
      <c r="A4" t="str">
        <v>S103</v>
      </c>
      <c r="B4" t="str" cm="1">
        <f t="array" ref="B4:C4">VLOOKUP(Practice!A4,Table1[[Student_ID]:[Class]],{2,3},0)</f>
        <v>Meena</v>
      </c>
      <c r="C4">
        <v>11</v>
      </c>
      <c r="D4" cm="1">
        <f t="array" ref="D4:F4">_xlfn.XLOOKUP(C4, Table2[Class], Table2[[Tuition_Fee]:[Library_Fee]], "Invalid", 0)</f>
        <v>15000</v>
      </c>
      <c r="E4">
        <v>2000</v>
      </c>
      <c r="F4">
        <v>1000</v>
      </c>
      <c r="G4">
        <f t="shared" si="0"/>
        <v>18000</v>
      </c>
      <c r="H4" cm="1">
        <f t="array" ref="H4:J4">TRANSPOSE(_xlfn.XLOOKUP(B4, Table3[#Headers], Table3[], "Not Found", 0))</f>
        <v>92</v>
      </c>
      <c r="I4">
        <v>0</v>
      </c>
      <c r="J4">
        <v>0</v>
      </c>
    </row>
    <row r="5" spans="1:10" x14ac:dyDescent="0.3">
      <c r="A5" t="str">
        <v>S104</v>
      </c>
      <c r="B5" t="str" cm="1">
        <f t="array" ref="B5:C5">VLOOKUP(Practice!A5,Table1[[Student_ID]:[Class]],{2,3},0)</f>
        <v>John</v>
      </c>
      <c r="C5">
        <v>11</v>
      </c>
      <c r="D5" cm="1">
        <f t="array" ref="D5:F5">_xlfn.XLOOKUP(C5, Table2[Class], Table2[[Tuition_Fee]:[Library_Fee]], "Invalid", 0)</f>
        <v>15000</v>
      </c>
      <c r="E5">
        <v>2000</v>
      </c>
      <c r="F5">
        <v>1000</v>
      </c>
      <c r="G5">
        <f t="shared" si="0"/>
        <v>18000</v>
      </c>
      <c r="H5" cm="1">
        <f t="array" ref="H5:J5">TRANSPOSE(_xlfn.XLOOKUP(B5, Table3[#Headers], Table3[], "Not Found", 0))</f>
        <v>0</v>
      </c>
      <c r="I5">
        <v>0</v>
      </c>
      <c r="J5">
        <v>74</v>
      </c>
    </row>
    <row r="6" spans="1:10" x14ac:dyDescent="0.3">
      <c r="A6" t="str">
        <v>S105</v>
      </c>
      <c r="B6" t="str" cm="1">
        <f t="array" ref="B6:C6">VLOOKUP(Practice!A6,Table1[[Student_ID]:[Class]],{2,3},0)</f>
        <v>Priya</v>
      </c>
      <c r="C6">
        <v>10</v>
      </c>
      <c r="D6" cm="1">
        <f t="array" ref="D6:F6">_xlfn.XLOOKUP(C6, Table2[Class], Table2[[Tuition_Fee]:[Library_Fee]], "Invalid", 0)</f>
        <v>12000</v>
      </c>
      <c r="E6">
        <v>1500</v>
      </c>
      <c r="F6">
        <v>800</v>
      </c>
      <c r="G6">
        <f t="shared" si="0"/>
        <v>14300</v>
      </c>
      <c r="H6" cm="1">
        <f t="array" ref="H6:J6">TRANSPOSE(_xlfn.XLOOKUP(B6, Table3[#Headers], Table3[], "Not Found", 0))</f>
        <v>0</v>
      </c>
      <c r="I6">
        <v>88</v>
      </c>
      <c r="J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StudentData</vt:lpstr>
      <vt:lpstr>FeeStructure</vt:lpstr>
      <vt:lpstr>SubjectMarks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RAJPUT</dc:creator>
  <cp:lastModifiedBy>ROHIT RAJPUT</cp:lastModifiedBy>
  <dcterms:created xsi:type="dcterms:W3CDTF">2026-05-09T03:16:30Z</dcterms:created>
  <dcterms:modified xsi:type="dcterms:W3CDTF">2026-05-09T07:39:54Z</dcterms:modified>
</cp:coreProperties>
</file>