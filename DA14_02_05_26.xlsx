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3\Desktop\"/>
    </mc:Choice>
  </mc:AlternateContent>
  <xr:revisionPtr revIDLastSave="0" documentId="13_ncr:1_{0CAF09D6-A365-47A3-B424-D4F86D87657B}" xr6:coauthVersionLast="47" xr6:coauthVersionMax="47" xr10:uidLastSave="{00000000-0000-0000-0000-000000000000}"/>
  <bookViews>
    <workbookView xWindow="-120" yWindow="-120" windowWidth="20730" windowHeight="11040" xr2:uid="{8E8FCD1D-F008-4896-BE2A-B100A4F56896}"/>
  </bookViews>
  <sheets>
    <sheet name="StudentResult" sheetId="2" r:id="rId1"/>
    <sheet name="SalaryBStatus" sheetId="3" r:id="rId2"/>
    <sheet name="Grades" sheetId="4" r:id="rId3"/>
    <sheet name="Elgibility" sheetId="5" r:id="rId4"/>
    <sheet name="Attendence" sheetId="6" r:id="rId5"/>
    <sheet name="Discount" sheetId="7" r:id="rId6"/>
    <sheet name="LoanApprovel" sheetId="8" r:id="rId7"/>
    <sheet name="PresentStatus" sheetId="9" r:id="rId8"/>
    <sheet name="IFerror" sheetId="10" r:id="rId9"/>
    <sheet name="Sheet11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2" i="11"/>
  <c r="C3" i="10"/>
  <c r="C4" i="10"/>
  <c r="C5" i="10"/>
  <c r="C2" i="10"/>
  <c r="C3" i="9"/>
  <c r="C4" i="9"/>
  <c r="C5" i="9"/>
  <c r="C2" i="9"/>
  <c r="D3" i="8"/>
  <c r="D4" i="8"/>
  <c r="D5" i="8"/>
  <c r="D2" i="8"/>
  <c r="D3" i="7"/>
  <c r="D4" i="7"/>
  <c r="D5" i="7"/>
  <c r="D2" i="7"/>
  <c r="D3" i="6"/>
  <c r="D4" i="6"/>
  <c r="D5" i="6"/>
  <c r="D2" i="6"/>
  <c r="D3" i="5"/>
  <c r="D4" i="5"/>
  <c r="D5" i="5"/>
  <c r="D2" i="5"/>
  <c r="C3" i="4"/>
  <c r="C4" i="4"/>
  <c r="C5" i="4"/>
  <c r="C6" i="4"/>
  <c r="C2" i="4"/>
  <c r="D6" i="2"/>
  <c r="C3" i="3"/>
  <c r="C4" i="3"/>
  <c r="C5" i="3"/>
  <c r="C2" i="3"/>
  <c r="D3" i="2"/>
  <c r="D4" i="2"/>
  <c r="D5" i="2"/>
  <c r="D2" i="2"/>
</calcChain>
</file>

<file path=xl/sharedStrings.xml><?xml version="1.0" encoding="utf-8"?>
<sst xmlns="http://schemas.openxmlformats.org/spreadsheetml/2006/main" count="83" uniqueCount="46">
  <si>
    <t>Performance</t>
  </si>
  <si>
    <t>Sunita</t>
  </si>
  <si>
    <t>Manoj</t>
  </si>
  <si>
    <t>Kavita</t>
  </si>
  <si>
    <t>Roll No</t>
  </si>
  <si>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</si>
  <si>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</si>
  <si>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</si>
  <si>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</si>
  <si>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</si>
  <si>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</si>
  <si>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</si>
  <si>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</si>
  <si>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Employee Name</t>
  </si>
  <si>
    <t>Salary</t>
  </si>
  <si>
    <t>Bonus Status</t>
  </si>
  <si>
    <t>Rohit</t>
  </si>
  <si>
    <t>Simran</t>
  </si>
  <si>
    <t>Vijay</t>
  </si>
  <si>
    <t>Nisha</t>
  </si>
  <si>
    <t>Grade</t>
  </si>
  <si>
    <t>Name</t>
  </si>
  <si>
    <t>Age</t>
  </si>
  <si>
    <t>Experience (Years)</t>
  </si>
  <si>
    <t>Eligible</t>
  </si>
  <si>
    <t>Attendance %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</si>
  <si>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</si>
  <si>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</si>
  <si>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</si>
  <si>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</si>
  <si>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</si>
  <si>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</si>
  <si>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</si>
  <si>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Aakash</t>
  </si>
  <si>
    <t>Bhavna</t>
  </si>
  <si>
    <t>Divya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</si>
  <si>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</si>
  <si>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</si>
  <si>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</si>
  <si>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</si>
  <si>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</si>
  <si>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</si>
  <si>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</si>
  <si>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</si>
  <si>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Raj</t>
  </si>
  <si>
    <t>Attendance ≥ 90 AND Targets ≥ 40 → Excellent
Attendance ≥ 80 → Good
Else → Needs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</si>
</sst>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1F2328"/>
      <name val="Calibri"/>
      <family val="2"/>
      <scheme val="minor"/>
    </font>
    <font>
      <sz val="12"/>
      <color rgb="FF1F232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0E71-9EDC-48CC-AF7D-9AA0D88E7FD4}">
  <dimension ref="A1:D6"/>
  <sheetViews>
    <sheetView tabSelected="1" workbookViewId="0">
      <selection activeCell="J11" sqref="J11"/>
    </sheetView>
  </sheetViews>
  <sheetFormatPr defaultRowHeight="15" x14ac:dyDescent="0.25"/>
  <sheetData>
    <row r="1" spans="1:4" ht="32.25" thickBot="1" x14ac:dyDescent="0.3">
      <c r="A1" s="3" t="s">
        <v>4</v>
      </c>
      <c r="B1" s="3" t="s">
        <v>5</v>
      </c>
      <c r="C1" s="3" t="s">
        <v>6</v>
      </c>
      <c r="D1" s="3" t="s">
        <v>7</v>
      </c>
    </row>
    <row r="2" spans="1:4" ht="16.5" thickBot="1" x14ac:dyDescent="0.3">
      <c r="A2" s="4">
        <v>1</v>
      </c>
      <c r="B2" s="4" t="s">
        <v>8</v>
      </c>
      <c r="C2" s="4">
        <v>78</v>
      </c>
      <c r="D2" s="4" t="str">
        <f>IF(C2&gt;=40,"Pass","Fail")</f>
        <v>Pass</v>
      </c>
    </row>
    <row r="3" spans="1:4" ht="16.5" thickBot="1" x14ac:dyDescent="0.3">
      <c r="A3" s="5">
        <v>2</v>
      </c>
      <c r="B3" s="5" t="s">
        <v>9</v>
      </c>
      <c r="C3" s="5">
        <v>35</v>
      </c>
      <c r="D3" s="4" t="str">
        <f t="shared" ref="D3:D6" si="0">IF(C3&gt;=40,"Pass","Fail")</f>
        <v>Fail</v>
      </c>
    </row>
    <row r="4" spans="1:4" ht="16.5" thickBot="1" x14ac:dyDescent="0.3">
      <c r="A4" s="4">
        <v>3</v>
      </c>
      <c r="B4" s="4" t="s">
        <v>10</v>
      </c>
      <c r="C4" s="4">
        <v>62</v>
      </c>
      <c r="D4" s="4" t="str">
        <f t="shared" si="0"/>
        <v>Pass</v>
      </c>
    </row>
    <row r="5" spans="1:4" ht="16.5" thickBot="1" x14ac:dyDescent="0.3">
      <c r="A5" s="5">
        <v>4</v>
      </c>
      <c r="B5" s="5" t="s">
        <v>11</v>
      </c>
      <c r="C5" s="5">
        <v>40</v>
      </c>
      <c r="D5" s="4" t="str">
        <f t="shared" si="0"/>
        <v>Pass</v>
      </c>
    </row>
    <row r="6" spans="1:4" ht="16.5" thickBot="1" x14ac:dyDescent="0.3">
      <c r="A6" s="4">
        <v>5</v>
      </c>
      <c r="B6" s="4" t="s">
        <v>12</v>
      </c>
      <c r="C6" s="4">
        <v>28</v>
      </c>
      <c r="D6" s="4" t="str">
        <f>IF(C6&gt;=40,"Pass","Fail")</f>
        <v>Fail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D1A53-EC5F-458B-97D4-D21718E14F28}">
  <dimension ref="A1:C5"/>
  <sheetViews>
    <sheetView workbookViewId="0">
      <selection activeCell="E4" sqref="E4"/>
    </sheetView>
  </sheetViews>
  <sheetFormatPr defaultRowHeight="15" x14ac:dyDescent="0.25"/>
  <cols>
    <col min="1" max="1" width="8.42578125" bestFit="1" customWidth="1"/>
    <col min="2" max="2" width="9" bestFit="1" customWidth="1"/>
    <col min="3" max="3" width="12.28515625" bestFit="1" customWidth="1"/>
  </cols>
  <sheetData>
    <row r="1" spans="1:3" ht="48" thickBot="1" x14ac:dyDescent="0.3">
      <c r="A1" s="1" t="s">
        <v>13</v>
      </c>
      <c r="B1" s="1" t="s">
        <v>14</v>
      </c>
      <c r="C1" s="1" t="s">
        <v>15</v>
      </c>
    </row>
    <row r="2" spans="1:3" ht="16.5" thickBot="1" x14ac:dyDescent="0.3">
      <c r="A2" s="2" t="s">
        <v>16</v>
      </c>
      <c r="B2" s="2">
        <v>28000</v>
      </c>
      <c r="C2" s="2" t="str">
        <f>IF(B2&gt;=40000,"Bonus","No Bonus")</f>
        <v>No Bonus</v>
      </c>
    </row>
    <row r="3" spans="1:3" ht="32.25" thickBot="1" x14ac:dyDescent="0.3">
      <c r="A3" s="2" t="s">
        <v>17</v>
      </c>
      <c r="B3" s="2">
        <v>45000</v>
      </c>
      <c r="C3" s="2" t="str">
        <f t="shared" ref="C3:C5" si="0">IF(B3&gt;=40000,"Bonus","No Bonus")</f>
        <v>Bonus</v>
      </c>
    </row>
    <row r="4" spans="1:3" ht="16.5" thickBot="1" x14ac:dyDescent="0.3">
      <c r="A4" s="2" t="s">
        <v>18</v>
      </c>
      <c r="B4" s="2">
        <v>52000</v>
      </c>
      <c r="C4" s="2" t="str">
        <f t="shared" si="0"/>
        <v>Bonus</v>
      </c>
    </row>
    <row r="5" spans="1:3" ht="16.5" thickBot="1" x14ac:dyDescent="0.3">
      <c r="A5" s="2" t="s">
        <v>19</v>
      </c>
      <c r="B5" s="2">
        <v>30000</v>
      </c>
      <c r="C5" s="2" t="str">
        <f t="shared" si="0"/>
        <v>No Bonus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CFF61-BB69-446C-9F89-AD87C92CA465}">
  <dimension ref="A1:C6"/>
  <sheetViews>
    <sheetView workbookViewId="0">
      <selection activeCell="E5" sqref="E5"/>
    </sheetView>
  </sheetViews>
  <sheetFormatPr defaultRowHeight="15" x14ac:dyDescent="0.25"/>
  <sheetData>
    <row r="1" spans="1:3" ht="32.25" thickBot="1" x14ac:dyDescent="0.3">
      <c r="A1" s="3" t="s">
        <v>5</v>
      </c>
      <c r="B1" s="3" t="s">
        <v>6</v>
      </c>
      <c r="C1" s="3" t="s">
        <v>20</v>
      </c>
    </row>
    <row r="2" spans="1:3" ht="16.5" thickBot="1" x14ac:dyDescent="0.3">
      <c r="A2" s="4" t="s">
        <v>8</v>
      </c>
      <c r="B2" s="4">
        <v>82</v>
      </c>
      <c r="C2" s="4" t="str">
        <f>IF(B2&gt;=75,"A",IF(B2&gt;=60,"B",IF(B2&gt;=40,"C","Fail")))</f>
        <v>A</v>
      </c>
    </row>
    <row r="3" spans="1:3" ht="16.5" thickBot="1" x14ac:dyDescent="0.3">
      <c r="A3" s="5" t="s">
        <v>9</v>
      </c>
      <c r="B3" s="5">
        <v>67</v>
      </c>
      <c r="C3" s="4" t="str">
        <f t="shared" ref="C3:C6" si="0">IF(B3&gt;=75,"A",IF(B3&gt;=60,"B",IF(B3&gt;=40,"C","Fail")))</f>
        <v>B</v>
      </c>
    </row>
    <row r="4" spans="1:3" ht="16.5" thickBot="1" x14ac:dyDescent="0.3">
      <c r="A4" s="4" t="s">
        <v>10</v>
      </c>
      <c r="B4" s="4">
        <v>45</v>
      </c>
      <c r="C4" s="4" t="str">
        <f t="shared" si="0"/>
        <v>C</v>
      </c>
    </row>
    <row r="5" spans="1:3" ht="16.5" thickBot="1" x14ac:dyDescent="0.3">
      <c r="A5" s="5" t="s">
        <v>11</v>
      </c>
      <c r="B5" s="5">
        <v>33</v>
      </c>
      <c r="C5" s="4" t="str">
        <f t="shared" si="0"/>
        <v>Fail</v>
      </c>
    </row>
    <row r="6" spans="1:3" ht="16.5" thickBot="1" x14ac:dyDescent="0.3">
      <c r="A6" s="4" t="s">
        <v>12</v>
      </c>
      <c r="B6" s="4">
        <v>90</v>
      </c>
      <c r="C6" s="4" t="str">
        <f t="shared" si="0"/>
        <v>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8F2AA-82E7-4ADC-B764-86757DDD2BA2}">
  <dimension ref="A1:D5"/>
  <sheetViews>
    <sheetView workbookViewId="0">
      <selection activeCell="N7" sqref="N7"/>
    </sheetView>
  </sheetViews>
  <sheetFormatPr defaultRowHeight="15" x14ac:dyDescent="0.25"/>
  <cols>
    <col min="4" max="4" width="13.140625" bestFit="1" customWidth="1"/>
  </cols>
  <sheetData>
    <row r="1" spans="1:4" ht="48" thickBot="1" x14ac:dyDescent="0.3">
      <c r="A1" s="3" t="s">
        <v>21</v>
      </c>
      <c r="B1" s="3" t="s">
        <v>22</v>
      </c>
      <c r="C1" s="3" t="s">
        <v>23</v>
      </c>
      <c r="D1" s="3" t="s">
        <v>24</v>
      </c>
    </row>
    <row r="2" spans="1:4" ht="16.5" thickBot="1" x14ac:dyDescent="0.3">
      <c r="A2" s="4" t="s">
        <v>16</v>
      </c>
      <c r="B2" s="4">
        <v>25</v>
      </c>
      <c r="C2" s="4">
        <v>2</v>
      </c>
      <c r="D2" s="4" t="str">
        <f>IF(AND(B2&gt;=21,C2&gt;=1),"Eligible","Not Eligible")</f>
        <v>Eligible</v>
      </c>
    </row>
    <row r="3" spans="1:4" ht="16.5" thickBot="1" x14ac:dyDescent="0.3">
      <c r="A3" s="5" t="s">
        <v>17</v>
      </c>
      <c r="B3" s="5">
        <v>20</v>
      </c>
      <c r="C3" s="5">
        <v>1</v>
      </c>
      <c r="D3" s="4" t="str">
        <f t="shared" ref="D3:D5" si="0">IF(AND(B3&gt;=21,C3&gt;=1),"Eligible","Not Eligible")</f>
        <v>Not Eligible</v>
      </c>
    </row>
    <row r="4" spans="1:4" ht="16.5" thickBot="1" x14ac:dyDescent="0.3">
      <c r="A4" s="4" t="s">
        <v>18</v>
      </c>
      <c r="B4" s="4">
        <v>30</v>
      </c>
      <c r="C4" s="4">
        <v>5</v>
      </c>
      <c r="D4" s="4" t="str">
        <f t="shared" si="0"/>
        <v>Eligible</v>
      </c>
    </row>
    <row r="5" spans="1:4" ht="16.5" thickBot="1" x14ac:dyDescent="0.3">
      <c r="A5" s="5" t="s">
        <v>19</v>
      </c>
      <c r="B5" s="5">
        <v>22</v>
      </c>
      <c r="C5" s="5">
        <v>0</v>
      </c>
      <c r="D5" s="4" t="str">
        <f t="shared" si="0"/>
        <v>Not Eligible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4F75A-0EF9-4F98-A6AC-C4539033825C}">
  <dimension ref="A1:D5"/>
  <sheetViews>
    <sheetView workbookViewId="0">
      <selection activeCell="E1" sqref="E1"/>
    </sheetView>
  </sheetViews>
  <sheetFormatPr defaultRowHeight="15" x14ac:dyDescent="0.25"/>
  <cols>
    <col min="1" max="1" width="8.85546875" bestFit="1" customWidth="1"/>
    <col min="2" max="2" width="8.7109375" bestFit="1" customWidth="1"/>
    <col min="3" max="3" width="8.42578125" bestFit="1" customWidth="1"/>
    <col min="4" max="4" width="13.140625" bestFit="1" customWidth="1"/>
  </cols>
  <sheetData>
    <row r="1" spans="1:4" ht="63.75" thickBot="1" x14ac:dyDescent="0.3">
      <c r="A1" s="3" t="s">
        <v>5</v>
      </c>
      <c r="B1" s="3" t="s">
        <v>25</v>
      </c>
      <c r="C1" s="3" t="s">
        <v>26</v>
      </c>
      <c r="D1" s="3" t="s">
        <v>24</v>
      </c>
    </row>
    <row r="2" spans="1:4" ht="16.5" thickBot="1" x14ac:dyDescent="0.3">
      <c r="A2" s="4" t="s">
        <v>8</v>
      </c>
      <c r="B2" s="4">
        <v>85</v>
      </c>
      <c r="C2" s="4" t="s">
        <v>27</v>
      </c>
      <c r="D2" s="4" t="str">
        <f>IF(AND(B2&gt;=75,C2="Yes"),"Eligible","Not Eligible")</f>
        <v>Eligible</v>
      </c>
    </row>
    <row r="3" spans="1:4" ht="16.5" thickBot="1" x14ac:dyDescent="0.3">
      <c r="A3" s="5" t="s">
        <v>9</v>
      </c>
      <c r="B3" s="5">
        <v>72</v>
      </c>
      <c r="C3" s="5" t="s">
        <v>27</v>
      </c>
      <c r="D3" s="4" t="str">
        <f t="shared" ref="D3:D5" si="0">IF(AND(B3&gt;=75,C3="Yes"),"Eligible","Not Eligible")</f>
        <v>Not Eligible</v>
      </c>
    </row>
    <row r="4" spans="1:4" ht="16.5" thickBot="1" x14ac:dyDescent="0.3">
      <c r="A4" s="4" t="s">
        <v>10</v>
      </c>
      <c r="B4" s="4">
        <v>90</v>
      </c>
      <c r="C4" s="4" t="s">
        <v>28</v>
      </c>
      <c r="D4" s="4" t="str">
        <f t="shared" si="0"/>
        <v>Not Eligible</v>
      </c>
    </row>
    <row r="5" spans="1:4" ht="16.5" thickBot="1" x14ac:dyDescent="0.3">
      <c r="A5" s="5" t="s">
        <v>11</v>
      </c>
      <c r="B5" s="5">
        <v>80</v>
      </c>
      <c r="C5" s="5" t="s">
        <v>27</v>
      </c>
      <c r="D5" s="4" t="str">
        <f t="shared" si="0"/>
        <v>Eligible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B405B-E514-4A56-BC55-F06C4C81E131}">
  <dimension ref="A1:D5"/>
  <sheetViews>
    <sheetView workbookViewId="0">
      <selection activeCell="D4" sqref="D4"/>
    </sheetView>
  </sheetViews>
  <sheetFormatPr defaultRowHeight="15" x14ac:dyDescent="0.25"/>
  <cols>
    <col min="2" max="2" width="8.42578125" bestFit="1" customWidth="1"/>
    <col min="3" max="3" width="9" bestFit="1" customWidth="1"/>
    <col min="4" max="4" width="13.7109375" bestFit="1" customWidth="1"/>
  </cols>
  <sheetData>
    <row r="1" spans="1:4" ht="63.75" thickBot="1" x14ac:dyDescent="0.3">
      <c r="A1" s="3" t="s">
        <v>29</v>
      </c>
      <c r="B1" s="3" t="s">
        <v>30</v>
      </c>
      <c r="C1" s="3" t="s">
        <v>31</v>
      </c>
      <c r="D1" s="3" t="s">
        <v>32</v>
      </c>
    </row>
    <row r="2" spans="1:4" ht="16.5" thickBot="1" x14ac:dyDescent="0.3">
      <c r="A2" s="4" t="s">
        <v>33</v>
      </c>
      <c r="B2" s="4">
        <v>9000</v>
      </c>
      <c r="C2" s="4" t="s">
        <v>28</v>
      </c>
      <c r="D2" s="4" t="str">
        <f>IF(OR(B2&gt;=10000,C2="Yes"),"Discount","No Discount")</f>
        <v>No Discount</v>
      </c>
    </row>
    <row r="3" spans="1:4" ht="32.25" thickBot="1" x14ac:dyDescent="0.3">
      <c r="A3" s="5" t="s">
        <v>34</v>
      </c>
      <c r="B3" s="5">
        <v>12000</v>
      </c>
      <c r="C3" s="5" t="s">
        <v>28</v>
      </c>
      <c r="D3" s="4" t="str">
        <f>IF(OR(B3&gt;=10000,C3="Yes"),"Discount","No Discount")</f>
        <v>Discount</v>
      </c>
    </row>
    <row r="4" spans="1:4" ht="32.25" thickBot="1" x14ac:dyDescent="0.3">
      <c r="A4" s="4" t="s">
        <v>10</v>
      </c>
      <c r="B4" s="4">
        <v>4000</v>
      </c>
      <c r="C4" s="4" t="s">
        <v>27</v>
      </c>
      <c r="D4" s="4" t="str">
        <f t="shared" ref="D3:D5" si="0">IF(OR(B4&gt;=10000,C4="Yes"),"Discount","No Discount")</f>
        <v>Discount</v>
      </c>
    </row>
    <row r="5" spans="1:4" ht="32.25" thickBot="1" x14ac:dyDescent="0.3">
      <c r="A5" s="5" t="s">
        <v>35</v>
      </c>
      <c r="B5" s="5">
        <v>3000</v>
      </c>
      <c r="C5" s="5" t="s">
        <v>28</v>
      </c>
      <c r="D5" s="4" t="str">
        <f t="shared" si="0"/>
        <v>No Discount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6A876-C68E-41CB-A785-B2F7224975ED}">
  <dimension ref="A1:D5"/>
  <sheetViews>
    <sheetView workbookViewId="0">
      <selection activeCell="G5" sqref="G5"/>
    </sheetView>
  </sheetViews>
  <sheetFormatPr defaultRowHeight="15" x14ac:dyDescent="0.25"/>
  <cols>
    <col min="2" max="2" width="8" bestFit="1" customWidth="1"/>
    <col min="3" max="3" width="7" bestFit="1" customWidth="1"/>
    <col min="4" max="4" width="10.42578125" bestFit="1" customWidth="1"/>
  </cols>
  <sheetData>
    <row r="1" spans="1:4" ht="32.25" thickBot="1" x14ac:dyDescent="0.3">
      <c r="A1" s="3" t="s">
        <v>36</v>
      </c>
      <c r="B1" s="3" t="s">
        <v>14</v>
      </c>
      <c r="C1" s="3" t="s">
        <v>37</v>
      </c>
      <c r="D1" s="3" t="s">
        <v>38</v>
      </c>
    </row>
    <row r="2" spans="1:4" ht="16.5" thickBot="1" x14ac:dyDescent="0.3">
      <c r="A2" s="4" t="s">
        <v>16</v>
      </c>
      <c r="B2" s="4">
        <v>35000</v>
      </c>
      <c r="C2" s="4">
        <v>720</v>
      </c>
      <c r="D2" s="4" t="str">
        <f>IF(OR(B3&gt;=40000,C3&gt;=700),"Approved","Rejected")</f>
        <v>Rejected</v>
      </c>
    </row>
    <row r="3" spans="1:4" ht="32.25" thickBot="1" x14ac:dyDescent="0.3">
      <c r="A3" s="5" t="s">
        <v>17</v>
      </c>
      <c r="B3" s="5">
        <v>25000</v>
      </c>
      <c r="C3" s="5">
        <v>680</v>
      </c>
      <c r="D3" s="4" t="str">
        <f t="shared" ref="D3:D5" si="0">IF(OR(B4&gt;=40000,C4&gt;=700),"Approved","Rejected")</f>
        <v>Approved</v>
      </c>
    </row>
    <row r="4" spans="1:4" ht="32.25" thickBot="1" x14ac:dyDescent="0.3">
      <c r="A4" s="4" t="s">
        <v>18</v>
      </c>
      <c r="B4" s="4">
        <v>50000</v>
      </c>
      <c r="C4" s="4">
        <v>650</v>
      </c>
      <c r="D4" s="4" t="str">
        <f t="shared" si="0"/>
        <v>Rejected</v>
      </c>
    </row>
    <row r="5" spans="1:4" ht="32.25" thickBot="1" x14ac:dyDescent="0.3">
      <c r="A5" s="5" t="s">
        <v>19</v>
      </c>
      <c r="B5" s="5">
        <v>20000</v>
      </c>
      <c r="C5" s="5">
        <v>600</v>
      </c>
      <c r="D5" s="4" t="str">
        <f t="shared" si="0"/>
        <v>Rejected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A83B-BDC9-4A3F-824D-1DF96AC9840F}">
  <dimension ref="A1:C5"/>
  <sheetViews>
    <sheetView workbookViewId="0">
      <selection activeCell="F4" sqref="F4"/>
    </sheetView>
  </sheetViews>
  <sheetFormatPr defaultRowHeight="15" x14ac:dyDescent="0.25"/>
  <sheetData>
    <row r="1" spans="1:3" ht="32.25" thickBot="1" x14ac:dyDescent="0.3">
      <c r="A1" s="3" t="s">
        <v>21</v>
      </c>
      <c r="B1" s="3" t="s">
        <v>39</v>
      </c>
      <c r="C1" s="3" t="s">
        <v>40</v>
      </c>
    </row>
    <row r="2" spans="1:3" ht="16.5" thickBot="1" x14ac:dyDescent="0.3">
      <c r="A2" s="4" t="s">
        <v>8</v>
      </c>
      <c r="B2" s="4" t="b">
        <v>1</v>
      </c>
      <c r="C2" s="4" t="str">
        <f>IF(NOT(B2),"Absent","Present")</f>
        <v>Present</v>
      </c>
    </row>
    <row r="3" spans="1:3" ht="32.25" thickBot="1" x14ac:dyDescent="0.3">
      <c r="A3" s="5" t="s">
        <v>9</v>
      </c>
      <c r="B3" s="5" t="b">
        <v>0</v>
      </c>
      <c r="C3" s="4" t="str">
        <f t="shared" ref="C3:C5" si="0">IF(NOT(B3),"Absent","Present")</f>
        <v>Absent</v>
      </c>
    </row>
    <row r="4" spans="1:3" ht="32.25" thickBot="1" x14ac:dyDescent="0.3">
      <c r="A4" s="4" t="s">
        <v>10</v>
      </c>
      <c r="B4" s="4" t="b">
        <v>1</v>
      </c>
      <c r="C4" s="4" t="str">
        <f t="shared" si="0"/>
        <v>Present</v>
      </c>
    </row>
    <row r="5" spans="1:3" ht="32.25" thickBot="1" x14ac:dyDescent="0.3">
      <c r="A5" s="5" t="s">
        <v>11</v>
      </c>
      <c r="B5" s="5" t="b">
        <v>0</v>
      </c>
      <c r="C5" s="4" t="str">
        <f t="shared" si="0"/>
        <v>Absent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4FF7-CCC5-4747-91EE-A8B23DDDDC0F}">
  <dimension ref="A1:C5"/>
  <sheetViews>
    <sheetView workbookViewId="0">
      <selection activeCell="G2" sqref="G2"/>
    </sheetView>
  </sheetViews>
  <sheetFormatPr defaultRowHeight="15" x14ac:dyDescent="0.25"/>
  <cols>
    <col min="1" max="2" width="8.5703125" bestFit="1" customWidth="1"/>
    <col min="3" max="3" width="10.140625" bestFit="1" customWidth="1"/>
  </cols>
  <sheetData>
    <row r="1" spans="1:3" ht="32.25" thickBot="1" x14ac:dyDescent="0.3">
      <c r="A1" s="3" t="s">
        <v>41</v>
      </c>
      <c r="B1" s="3" t="s">
        <v>42</v>
      </c>
      <c r="C1" s="3" t="s">
        <v>7</v>
      </c>
    </row>
    <row r="2" spans="1:3" ht="16.5" thickBot="1" x14ac:dyDescent="0.3">
      <c r="A2" s="4">
        <v>10</v>
      </c>
      <c r="B2" s="4">
        <v>2</v>
      </c>
      <c r="C2" s="4">
        <f>IFERROR(A2/B2,"Invalid")</f>
        <v>5</v>
      </c>
    </row>
    <row r="3" spans="1:3" ht="16.5" thickBot="1" x14ac:dyDescent="0.3">
      <c r="A3" s="5">
        <v>15</v>
      </c>
      <c r="B3" s="5">
        <v>0</v>
      </c>
      <c r="C3" s="4" t="str">
        <f t="shared" ref="C3:C5" si="0">IFERROR(A3/B3,"Invalid")</f>
        <v>Invalid</v>
      </c>
    </row>
    <row r="4" spans="1:3" ht="16.5" thickBot="1" x14ac:dyDescent="0.3">
      <c r="A4" s="4">
        <v>20</v>
      </c>
      <c r="B4" s="4">
        <v>5</v>
      </c>
      <c r="C4" s="4">
        <f t="shared" si="0"/>
        <v>4</v>
      </c>
    </row>
    <row r="5" spans="1:3" ht="16.5" thickBot="1" x14ac:dyDescent="0.3">
      <c r="A5" s="5">
        <v>8</v>
      </c>
      <c r="B5" s="5">
        <v>0</v>
      </c>
      <c r="C5" s="4" t="str">
        <f t="shared" si="0"/>
        <v>Invalid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B33D-174E-4D31-9EB9-C293C48712A1}">
  <dimension ref="A1:L14"/>
  <sheetViews>
    <sheetView workbookViewId="0">
      <selection activeCell="E4" sqref="E4"/>
    </sheetView>
  </sheetViews>
  <sheetFormatPr defaultRowHeight="15" x14ac:dyDescent="0.25"/>
  <cols>
    <col min="1" max="1" width="8.85546875" bestFit="1" customWidth="1"/>
    <col min="2" max="2" width="8.28515625" bestFit="1" customWidth="1"/>
    <col min="3" max="3" width="8.7109375" bestFit="1" customWidth="1"/>
    <col min="4" max="4" width="14.5703125" bestFit="1" customWidth="1"/>
  </cols>
  <sheetData>
    <row r="1" spans="1:12" ht="63.75" thickBot="1" x14ac:dyDescent="0.3">
      <c r="A1" s="3" t="s">
        <v>13</v>
      </c>
      <c r="B1" s="3" t="s">
        <v>43</v>
      </c>
      <c r="C1" s="3" t="s">
        <v>25</v>
      </c>
      <c r="D1" s="3" t="s">
        <v>0</v>
      </c>
    </row>
    <row r="2" spans="1:12" ht="16.5" thickBot="1" x14ac:dyDescent="0.3">
      <c r="A2" s="4" t="s">
        <v>44</v>
      </c>
      <c r="B2" s="4">
        <v>45</v>
      </c>
      <c r="C2" s="4">
        <v>92</v>
      </c>
      <c r="D2" s="4" t="str">
        <f>IF(AND(C2&gt;=90,B2&gt;40),"Excellent",IF(C2&gt;=80,"Good","Needs Improvement"))</f>
        <v>Excellent</v>
      </c>
    </row>
    <row r="3" spans="1:12" ht="32.25" thickBot="1" x14ac:dyDescent="0.3">
      <c r="A3" s="5" t="s">
        <v>1</v>
      </c>
      <c r="B3" s="5">
        <v>38</v>
      </c>
      <c r="C3" s="5">
        <v>85</v>
      </c>
      <c r="D3" s="4" t="str">
        <f t="shared" ref="D3:D5" si="0">IF(AND(C3&gt;=90,B3&gt;40),"Excellent",IF(C3&gt;=80,"Good","Needs Improvement"))</f>
        <v>Good</v>
      </c>
    </row>
    <row r="4" spans="1:12" ht="32.25" thickBot="1" x14ac:dyDescent="0.3">
      <c r="A4" s="4" t="s">
        <v>2</v>
      </c>
      <c r="B4" s="4">
        <v>50</v>
      </c>
      <c r="C4" s="4">
        <v>95</v>
      </c>
      <c r="D4" s="4" t="str">
        <f t="shared" si="0"/>
        <v>Excellent</v>
      </c>
    </row>
    <row r="5" spans="1:12" ht="32.25" thickBot="1" x14ac:dyDescent="0.3">
      <c r="A5" s="5" t="s">
        <v>3</v>
      </c>
      <c r="B5" s="5">
        <v>30</v>
      </c>
      <c r="C5" s="5">
        <v>70</v>
      </c>
      <c r="D5" s="4" t="str">
        <f t="shared" si="0"/>
        <v>Needs Improvement</v>
      </c>
    </row>
    <row r="7" spans="1:12" x14ac:dyDescent="0.25">
      <c r="G7" s="7" t="s">
        <v>45</v>
      </c>
      <c r="H7" s="6"/>
      <c r="I7" s="6"/>
      <c r="J7" s="6"/>
      <c r="K7" s="6"/>
      <c r="L7" s="6"/>
    </row>
    <row r="8" spans="1:12" x14ac:dyDescent="0.25">
      <c r="G8" s="6"/>
      <c r="H8" s="6"/>
      <c r="I8" s="6"/>
      <c r="J8" s="6"/>
      <c r="K8" s="6"/>
      <c r="L8" s="6"/>
    </row>
    <row r="9" spans="1:12" x14ac:dyDescent="0.25">
      <c r="G9" s="6"/>
      <c r="H9" s="6"/>
      <c r="I9" s="6"/>
      <c r="J9" s="6"/>
      <c r="K9" s="6"/>
      <c r="L9" s="6"/>
    </row>
    <row r="10" spans="1:12" x14ac:dyDescent="0.25">
      <c r="G10" s="6"/>
      <c r="H10" s="6"/>
      <c r="I10" s="6"/>
      <c r="J10" s="6"/>
      <c r="K10" s="6"/>
      <c r="L10" s="6"/>
    </row>
    <row r="11" spans="1:12" x14ac:dyDescent="0.25">
      <c r="G11" s="6"/>
      <c r="H11" s="6"/>
      <c r="I11" s="6"/>
      <c r="J11" s="6"/>
      <c r="K11" s="6"/>
      <c r="L11" s="6"/>
    </row>
    <row r="12" spans="1:12" x14ac:dyDescent="0.25">
      <c r="G12" s="6"/>
      <c r="H12" s="6"/>
      <c r="I12" s="6"/>
      <c r="J12" s="6"/>
      <c r="K12" s="6"/>
      <c r="L12" s="6"/>
    </row>
    <row r="13" spans="1:12" x14ac:dyDescent="0.25">
      <c r="G13" s="6"/>
      <c r="H13" s="6"/>
      <c r="I13" s="6"/>
      <c r="J13" s="6"/>
      <c r="K13" s="6"/>
      <c r="L13" s="6"/>
    </row>
    <row r="14" spans="1:12" x14ac:dyDescent="0.25">
      <c r="G14" s="6"/>
      <c r="H14" s="6"/>
      <c r="I14" s="6"/>
      <c r="J14" s="6"/>
      <c r="K14" s="6"/>
      <c r="L14" s="6"/>
    </row>
  </sheetData>
  <mergeCells count="1">
    <mergeCell ref="G7:L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StudentResult</vt:lpstr>
      <vt:lpstr>SalaryBStatus</vt:lpstr>
      <vt:lpstr>Grades</vt:lpstr>
      <vt:lpstr>Elgibility</vt:lpstr>
      <vt:lpstr>Attendence</vt:lpstr>
      <vt:lpstr>Discount</vt:lpstr>
      <vt:lpstr>LoanApprovel</vt:lpstr>
      <vt:lpstr>PresentStatus</vt:lpstr>
      <vt:lpstr>IFerror</vt:lpstr>
      <vt:lpstr>Sheet11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ASDC3</cp:lastModifiedBy>
  <dcterms:created xsi:type="dcterms:W3CDTF">2026-05-02T11:21:06Z</dcterms:created>
  <dcterms:modified xsi:type="dcterms:W3CDTF">2026-05-02T12:00:31Z</dcterms:modified>
</cp:coreProperties>
</file>