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3\Desktop\"/>
    </mc:Choice>
  </mc:AlternateContent>
  <xr:revisionPtr revIDLastSave="0" documentId="13_ncr:1_{9D4E219E-CFD2-4E17-8C54-C9F57E95C695}" xr6:coauthVersionLast="47" xr6:coauthVersionMax="47" xr10:uidLastSave="{00000000-0000-0000-0000-000000000000}"/>
  <bookViews>
    <workbookView xWindow="-120" yWindow="-120" windowWidth="20730" windowHeight="11040" firstSheet="4" activeTab="9" xr2:uid="{8E8FCD1D-F008-4896-BE2A-B100A4F56896}"/>
  </bookViews>
  <sheets>
    <sheet name="StudentResult" sheetId="2" r:id="rId1"/>
    <sheet name="SalaryBStatus" sheetId="3" r:id="rId2"/>
    <sheet name="Grades" sheetId="4" r:id="rId3"/>
    <sheet name="Elgibility" sheetId="5" r:id="rId4"/>
    <sheet name="Attendence" sheetId="6" r:id="rId5"/>
    <sheet name="Discount" sheetId="7" r:id="rId6"/>
    <sheet name="LoanApprovel" sheetId="8" r:id="rId7"/>
    <sheet name="PresentStatus" sheetId="9" r:id="rId8"/>
    <sheet name="IFerror" sheetId="10" r:id="rId9"/>
    <sheet name="Performance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1" l="1"/>
  <c r="D4" i="11"/>
  <c r="D5" i="11"/>
  <c r="D2" i="11"/>
  <c r="C3" i="10"/>
  <c r="C4" i="10"/>
  <c r="C5" i="10"/>
  <c r="C2" i="10"/>
  <c r="C3" i="9"/>
  <c r="C4" i="9"/>
  <c r="C5" i="9"/>
  <c r="C2" i="9"/>
  <c r="D3" i="8"/>
  <c r="D4" i="8"/>
  <c r="D5" i="8"/>
  <c r="D2" i="8"/>
  <c r="D3" i="7"/>
  <c r="D4" i="7"/>
  <c r="D5" i="7"/>
  <c r="D2" i="7"/>
  <c r="D3" i="6"/>
  <c r="D4" i="6"/>
  <c r="D5" i="6"/>
  <c r="D2" i="6"/>
  <c r="D3" i="5"/>
  <c r="D4" i="5"/>
  <c r="D5" i="5"/>
  <c r="D2" i="5"/>
  <c r="C3" i="4"/>
  <c r="C4" i="4"/>
  <c r="C5" i="4"/>
  <c r="C6" i="4"/>
  <c r="C2" i="4"/>
  <c r="D6" i="2"/>
  <c r="C3" i="3"/>
  <c r="C4" i="3"/>
  <c r="C5" i="3"/>
  <c r="C2" i="3"/>
  <c r="D3" i="2"/>
  <c r="D4" i="2"/>
  <c r="D5" i="2"/>
  <c r="D2" i="2"/>
</calcChain>
</file>

<file path=xl/sharedStrings.xml><?xml version="1.0" encoding="utf-8"?>
<sst xmlns="http://schemas.openxmlformats.org/spreadsheetml/2006/main" count="83" uniqueCount="46">
  <si>
    <t>Performance</t>
  </si>
  <si>
    <t>Sunita</t>
  </si>
  <si>
    <t>Manoj</t>
  </si>
  <si>
    <t>Kavita</t>
  </si>
  <si>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</si>
  <si>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</si>
  <si>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</si>
  <si>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</si>
  <si>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</si>
  <si>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</si>
  <si>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</si>
  <si>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</si>
  <si>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</si>
  <si>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Employee Name</t>
  </si>
  <si>
    <t>Salary</t>
  </si>
  <si>
    <t>Bonus Status</t>
  </si>
  <si>
    <t>Rohit</t>
  </si>
  <si>
    <t>Simran</t>
  </si>
  <si>
    <t>Vijay</t>
  </si>
  <si>
    <t>Nisha</t>
  </si>
  <si>
    <t>Grade</t>
  </si>
  <si>
    <t>Name</t>
  </si>
  <si>
    <t>Age</t>
  </si>
  <si>
    <t>Experience (Years)</t>
  </si>
  <si>
    <t>Eligible</t>
  </si>
  <si>
    <t>Attendance %</t>
  </si>
  <si>
    <t>Assignment Submitted</t>
  </si>
  <si>
    <t>Yes</t>
  </si>
  <si>
    <t>No</t>
  </si>
  <si>
    <t>Customer Name</t>
  </si>
  <si>
    <t>Purchase Amount</t>
  </si>
  <si>
    <t>Membership</t>
  </si>
  <si>
    <t>Discount</t>
  </si>
  <si>
    <t>Aakash</t>
  </si>
  <si>
    <t>Bhavna</t>
  </si>
  <si>
    <t>Divya</t>
  </si>
  <si>
    <t>Applicant</t>
  </si>
  <si>
    <t>CIBIL Score</t>
  </si>
  <si>
    <t>Loan Status</t>
  </si>
  <si>
    <t>Present</t>
  </si>
  <si>
    <t>Status</t>
  </si>
  <si>
    <t>Number 1</t>
  </si>
  <si>
    <t>Number 2</t>
  </si>
  <si>
    <t>Targets Achieved</t>
  </si>
  <si>
    <t>Raj</t>
  </si>
  <si>
    <t>Attendance ≥ 90 AND Targets ≥ 40 → Excellent
Attendance ≥ 80 → Good
Else → Needs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</si>
</sst>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1F2328"/>
      <name val="Calibri"/>
      <family val="2"/>
      <scheme val="minor"/>
    </font>
    <font>
      <sz val="12"/>
      <color rgb="FF1F2328"/>
      <name val="Calibri"/>
      <family val="2"/>
      <scheme val="minor"/>
    </font>
    <font>
      <sz val="12"/>
      <color theme="2"/>
      <name val="Calibri"/>
      <family val="2"/>
      <scheme val="minor"/>
    </font>
    <font>
      <sz val="12"/>
      <color rgb="FFFBFBFB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/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/>
      <top/>
      <bottom style="medium">
        <color rgb="FFD1D9E0"/>
      </bottom>
      <diagonal/>
    </border>
    <border>
      <left/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/>
      <top style="medium">
        <color rgb="FFD1D9E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 indent="1"/>
    </xf>
    <xf numFmtId="0" fontId="2" fillId="0" borderId="3" xfId="0" applyFont="1" applyFill="1" applyBorder="1" applyAlignment="1">
      <alignment horizontal="left" vertical="center" wrapText="1" indent="1"/>
    </xf>
    <xf numFmtId="0" fontId="2" fillId="0" borderId="7" xfId="0" applyFont="1" applyFill="1" applyBorder="1" applyAlignment="1">
      <alignment horizontal="left" vertical="center" wrapText="1" indent="1"/>
    </xf>
    <xf numFmtId="0" fontId="2" fillId="0" borderId="8" xfId="0" applyFont="1" applyFill="1" applyBorder="1" applyAlignment="1">
      <alignment horizontal="left" vertical="center" wrapText="1" indent="1"/>
    </xf>
    <xf numFmtId="0" fontId="2" fillId="0" borderId="9" xfId="0" applyFont="1" applyFill="1" applyBorder="1" applyAlignment="1">
      <alignment horizontal="left" vertical="center" wrapText="1" inden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8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BFBFB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/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top style="medium">
          <color rgb="FFD1D9E0"/>
        </top>
      </border>
    </dxf>
    <dxf>
      <border outline="0">
        <bottom style="medium">
          <color rgb="FFD1D9E0"/>
        </bottom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medium">
          <color rgb="FFD1D9E0"/>
        </top>
      </border>
    </dxf>
    <dxf>
      <border outline="0">
        <bottom style="medium">
          <color rgb="FFD1D9E0"/>
        </bottom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/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top style="medium">
          <color rgb="FFD1D9E0"/>
        </top>
      </border>
    </dxf>
    <dxf>
      <border outline="0">
        <bottom style="medium">
          <color rgb="FFD1D9E0"/>
        </bottom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/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top style="medium">
          <color rgb="FFD1D9E0"/>
        </top>
      </border>
    </dxf>
    <dxf>
      <border outline="0">
        <bottom style="medium">
          <color rgb="FFD1D9E0"/>
        </bottom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/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top style="medium">
          <color rgb="FFD1D9E0"/>
        </top>
      </border>
    </dxf>
    <dxf>
      <border outline="0">
        <bottom style="medium">
          <color rgb="FFD1D9E0"/>
        </bottom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medium">
          <color rgb="FFD1D9E0"/>
        </top>
      </border>
    </dxf>
    <dxf>
      <border outline="0">
        <bottom style="medium">
          <color rgb="FFD1D9E0"/>
        </bottom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/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top style="medium">
          <color rgb="FFD1D9E0"/>
        </top>
      </border>
    </dxf>
    <dxf>
      <border outline="0">
        <bottom style="medium">
          <color rgb="FFD1D9E0"/>
        </bottom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bottom style="medium">
          <color rgb="FFD1D9E0"/>
        </bottom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/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top style="medium">
          <color rgb="FFD1D9E0"/>
        </top>
      </border>
    </dxf>
    <dxf>
      <border outline="0">
        <bottom style="medium">
          <color rgb="FFD1D9E0"/>
        </bottom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bottom style="medium">
          <color rgb="FFD1D9E0"/>
        </bottom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</dxfs>
  <tableStyles count="0" defaultTableStyle="TableStyleMedium2" defaultPivotStyle="PivotStyleLight16"/>
  <colors>
    <mruColors>
      <color rgb="FFFBF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B88030-3453-453D-93C1-F3BD9F7A86CD}" name="Table2" displayName="Table2" ref="A1:D6" totalsRowShown="0" headerRowDxfId="72" dataDxfId="71" headerRowBorderDxfId="78" tableBorderDxfId="79" totalsRowBorderDxfId="77">
  <autoFilter ref="A1:D6" xr:uid="{D7B88030-3453-453D-93C1-F3BD9F7A86CD}"/>
  <tableColumns count="4">
    <tableColumn id="1" xr3:uid="{A9DE3382-7047-4662-9A9C-69A938632F5E}" name="Roll No" dataDxfId="76"/>
    <tableColumn id="2" xr3:uid="{825C707A-1DDC-44FE-8B7F-9156FB50D7F9}" name="Student Name" dataDxfId="75"/>
    <tableColumn id="3" xr3:uid="{A6DCFA3E-31CD-4C00-A39D-A022DD80886D}" name="Marks" dataDxfId="74"/>
    <tableColumn id="4" xr3:uid="{A0BAE784-B996-4D70-9FB3-E060D6D39825}" name="Result" dataDxfId="73">
      <calculatedColumnFormula>IF(C2&gt;=40,"Pass","Fail")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46A27D-41D2-4EC3-929E-6FD7862AA905}" name="Table3" displayName="Table3" ref="A1:C5" totalsRowShown="0" headerRowDxfId="64" headerRowBorderDxfId="69" tableBorderDxfId="70" totalsRowBorderDxfId="68">
  <autoFilter ref="A1:C5" xr:uid="{CD46A27D-41D2-4EC3-929E-6FD7862AA905}"/>
  <tableColumns count="3">
    <tableColumn id="1" xr3:uid="{D4FDACDE-6A97-474F-BF0F-7E18119C44E4}" name="Employee Name" dataDxfId="67"/>
    <tableColumn id="2" xr3:uid="{41C75E6A-D316-45D1-8913-BDDAFC9E0D3B}" name="Salary" dataDxfId="66"/>
    <tableColumn id="3" xr3:uid="{C893DCA2-AD98-4B70-8AAC-89D948821C58}" name="Bonus Status" dataDxfId="65">
      <calculatedColumnFormula>IF(B2&gt;=40000,"Bonus","No Bonus")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436ADC-5FE5-4837-8331-BAF198226F83}" name="Table4" displayName="Table4" ref="A1:C6" totalsRowShown="0" headerRowDxfId="57" dataDxfId="56" headerRowBorderDxfId="62" tableBorderDxfId="63" totalsRowBorderDxfId="61">
  <autoFilter ref="A1:C6" xr:uid="{BA436ADC-5FE5-4837-8331-BAF198226F83}"/>
  <tableColumns count="3">
    <tableColumn id="1" xr3:uid="{F8575A4B-AB37-416F-9DE4-D8A186824449}" name="Student Name" dataDxfId="60"/>
    <tableColumn id="2" xr3:uid="{0DD4515B-3259-4623-A995-98B8089C264C}" name="Marks" dataDxfId="59"/>
    <tableColumn id="3" xr3:uid="{D8B1D27D-7CBF-41F3-9552-2BD085D1E82F}" name="Grade" dataDxfId="58">
      <calculatedColumnFormula>IF(B2&gt;=75,"A",IF(B2&gt;=60,"B",IF(B2&gt;=40,"C","Fail")))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D64CEB-BEC2-4CC4-A8B3-46C943BBDCDE}" name="Table6" displayName="Table6" ref="A1:D5" totalsRowShown="0" headerRowDxfId="48" headerRowBorderDxfId="54" tableBorderDxfId="55" totalsRowBorderDxfId="53">
  <autoFilter ref="A1:D5" xr:uid="{5AD64CEB-BEC2-4CC4-A8B3-46C943BBDCDE}"/>
  <tableColumns count="4">
    <tableColumn id="1" xr3:uid="{1B9A3669-4B11-4446-9714-6E874B50D8D6}" name="Name" dataDxfId="52"/>
    <tableColumn id="2" xr3:uid="{29136735-84F3-470A-815C-F6E4FD5A8ED6}" name="Age" dataDxfId="51"/>
    <tableColumn id="3" xr3:uid="{9E3BBB4B-52A3-482B-BA0B-D3B566F8D61A}" name="Experience (Years)" dataDxfId="50"/>
    <tableColumn id="4" xr3:uid="{4E544055-118D-46A6-9DC8-941FED820FDD}" name="Eligible" dataDxfId="49">
      <calculatedColumnFormula>IF(AND(B2&gt;=21,C2&gt;=1),"Eligible","Not Eligible")</calculatedColumnFormula>
    </tableColumn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F2E63B-5AF9-4F99-A087-09CCCB50947F}" name="Table7" displayName="Table7" ref="A1:D5" totalsRowShown="0" headerRowDxfId="39" dataDxfId="40" headerRowBorderDxfId="46" tableBorderDxfId="47" totalsRowBorderDxfId="45">
  <autoFilter ref="A1:D5" xr:uid="{07F2E63B-5AF9-4F99-A087-09CCCB50947F}"/>
  <tableColumns count="4">
    <tableColumn id="1" xr3:uid="{2BF2C380-74C7-477B-BCF7-0B50806B26A4}" name="Student Name" dataDxfId="44"/>
    <tableColumn id="2" xr3:uid="{EEFFBCB7-01A5-48E7-94AE-9CB6E833C65A}" name="Attendance %" dataDxfId="43"/>
    <tableColumn id="3" xr3:uid="{0F7EB582-0E8B-4B81-98A1-1EA9049972D7}" name="Assignment Submitted" dataDxfId="42"/>
    <tableColumn id="4" xr3:uid="{80E7EE4C-0BA3-4BB6-8E02-ADD23D358E94}" name="Eligible" dataDxfId="41">
      <calculatedColumnFormula>IF(AND(B2&gt;=75,C2="Yes"),"Eligible","Not Eligible")</calculatedColumnFormula>
    </tableColumn>
  </tableColumns>
  <tableStyleInfo name="TableStyleMedium2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875E16B-B09F-4828-B37C-4D749A700DF9}" name="Table8" displayName="Table8" ref="A1:D5" totalsRowShown="0" headerRowDxfId="31" headerRowBorderDxfId="37" tableBorderDxfId="38" totalsRowBorderDxfId="36">
  <autoFilter ref="A1:D5" xr:uid="{5875E16B-B09F-4828-B37C-4D749A700DF9}"/>
  <tableColumns count="4">
    <tableColumn id="1" xr3:uid="{DE3DBA77-76AA-4058-8551-4265E8E929E3}" name="Customer Name" dataDxfId="35"/>
    <tableColumn id="2" xr3:uid="{02D77120-9F2E-4F7E-BEB0-64D69E8AF310}" name="Purchase Amount" dataDxfId="34"/>
    <tableColumn id="3" xr3:uid="{038075BC-0731-4E20-9087-DBF889599D96}" name="Membership" dataDxfId="33"/>
    <tableColumn id="4" xr3:uid="{48605B27-774D-4911-9304-888AEF94A930}" name="Discount" dataDxfId="32">
      <calculatedColumnFormula>IF(OR(B2&gt;=10000,C2="Yes"),"Discount","No Discount")</calculatedColumnFormula>
    </tableColumn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823B93E-F4F1-4F5D-98CD-B529881DE74C}" name="Table9" displayName="Table9" ref="A1:D5" totalsRowShown="0" headerRowDxfId="23" headerRowBorderDxfId="29" tableBorderDxfId="30" totalsRowBorderDxfId="28">
  <autoFilter ref="A1:D5" xr:uid="{2823B93E-F4F1-4F5D-98CD-B529881DE74C}"/>
  <tableColumns count="4">
    <tableColumn id="1" xr3:uid="{D79A62A3-9431-4B1B-9F8C-79C4F6BDAB24}" name="Applicant" dataDxfId="27"/>
    <tableColumn id="2" xr3:uid="{0CC00E64-EB85-4F03-950E-F6481552ACEE}" name="Salary" dataDxfId="26"/>
    <tableColumn id="3" xr3:uid="{377A793C-095B-42B3-B5E1-98127C45FCF7}" name="CIBIL Score" dataDxfId="25"/>
    <tableColumn id="4" xr3:uid="{952654BC-7F40-4809-A5C9-A71F4910E5ED}" name="Loan Status" dataDxfId="24">
      <calculatedColumnFormula>IF(OR(B3&gt;=40000,C3&gt;=700),"Approved","Rejected")</calculatedColumnFormula>
    </tableColumn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8C741FA-66A8-496D-80DB-3446D6C4A9F7}" name="Table10" displayName="Table10" ref="A1:C5" totalsRowShown="0" headerRowDxfId="16" headerRowBorderDxfId="21" tableBorderDxfId="22" totalsRowBorderDxfId="20">
  <autoFilter ref="A1:C5" xr:uid="{B8C741FA-66A8-496D-80DB-3446D6C4A9F7}"/>
  <tableColumns count="3">
    <tableColumn id="1" xr3:uid="{9E22ADD3-5E99-4A8A-8273-68508B76DDF5}" name="Name" dataDxfId="19"/>
    <tableColumn id="2" xr3:uid="{0D2AA2DC-9970-4A04-9C77-CF7427DE8196}" name="Present" dataDxfId="18"/>
    <tableColumn id="3" xr3:uid="{132E22F2-8942-4781-8B78-C8DC9B310908}" name="Status" dataDxfId="17">
      <calculatedColumnFormula>IF(NOT(B2),"Absent","Present")</calculatedColumnFormula>
    </tableColumn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A613912-1A76-482A-80F3-2774B9943451}" name="Table11" displayName="Table11" ref="A1:C5" totalsRowShown="0" headerRowDxfId="9" dataDxfId="8" headerRowBorderDxfId="14" tableBorderDxfId="15" totalsRowBorderDxfId="13">
  <autoFilter ref="A1:C5" xr:uid="{3A613912-1A76-482A-80F3-2774B9943451}"/>
  <tableColumns count="3">
    <tableColumn id="1" xr3:uid="{8EC9D611-51E9-49B2-842C-483809D55A99}" name="Number 1" dataDxfId="12"/>
    <tableColumn id="2" xr3:uid="{F770D814-6C3F-4416-8B7D-B0DB9011F766}" name="Number 2" dataDxfId="11"/>
    <tableColumn id="3" xr3:uid="{73119EF1-79F8-4627-B301-5DD781851AF5}" name="Result" dataDxfId="10">
      <calculatedColumnFormula>IFERROR(A2/B2,"Invalid")</calculatedColumnFormula>
    </tableColumn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84A468E-12F3-418F-B9DE-0710715BBC6D}" name="Table12" displayName="Table12" ref="A1:D5" totalsRowShown="0" headerRowDxfId="0" headerRowBorderDxfId="6" tableBorderDxfId="7" totalsRowBorderDxfId="5">
  <autoFilter ref="A1:D5" xr:uid="{284A468E-12F3-418F-B9DE-0710715BBC6D}"/>
  <tableColumns count="4">
    <tableColumn id="1" xr3:uid="{307AE05F-3A52-419B-BE23-9A1DFF20E61D}" name="Employee Name" dataDxfId="4"/>
    <tableColumn id="2" xr3:uid="{4669B45E-732B-4D84-A4EC-1C45783CB16B}" name="Targets Achieved" dataDxfId="3"/>
    <tableColumn id="3" xr3:uid="{F7278896-1BF0-45C1-B693-8868BC5FBA08}" name="Attendance %" dataDxfId="2"/>
    <tableColumn id="4" xr3:uid="{35DC72CB-6DB3-456F-80A7-6B3DDD3942CC}" name="Performance" dataDxfId="1">
      <calculatedColumnFormula>IF(AND(C2&gt;=90,B2&gt;40),"Excellent",IF(C2&gt;=80,"Good","Needs Improvement"))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B0E71-9EDC-48CC-AF7D-9AA0D88E7FD4}">
  <dimension ref="A1:D6"/>
  <sheetViews>
    <sheetView workbookViewId="0">
      <selection activeCell="G6" sqref="G6"/>
    </sheetView>
  </sheetViews>
  <sheetFormatPr defaultRowHeight="15" x14ac:dyDescent="0.25"/>
  <cols>
    <col min="1" max="1" width="10.85546875" customWidth="1"/>
    <col min="2" max="2" width="17.85546875" customWidth="1"/>
    <col min="3" max="3" width="9.5703125" customWidth="1"/>
    <col min="4" max="4" width="9.85546875" customWidth="1"/>
  </cols>
  <sheetData>
    <row r="1" spans="1:4" ht="16.5" thickBot="1" x14ac:dyDescent="0.3">
      <c r="A1" s="4" t="s">
        <v>4</v>
      </c>
      <c r="B1" s="5" t="s">
        <v>5</v>
      </c>
      <c r="C1" s="5" t="s">
        <v>6</v>
      </c>
      <c r="D1" s="6" t="s">
        <v>7</v>
      </c>
    </row>
    <row r="2" spans="1:4" ht="16.5" thickBot="1" x14ac:dyDescent="0.3">
      <c r="A2" s="7">
        <v>1</v>
      </c>
      <c r="B2" s="1" t="s">
        <v>8</v>
      </c>
      <c r="C2" s="1">
        <v>78</v>
      </c>
      <c r="D2" s="8" t="str">
        <f>IF(C2&gt;=40,"Pass","Fail")</f>
        <v>Pass</v>
      </c>
    </row>
    <row r="3" spans="1:4" ht="16.5" thickBot="1" x14ac:dyDescent="0.3">
      <c r="A3" s="7">
        <v>2</v>
      </c>
      <c r="B3" s="1" t="s">
        <v>9</v>
      </c>
      <c r="C3" s="1">
        <v>35</v>
      </c>
      <c r="D3" s="8" t="str">
        <f t="shared" ref="D3:D6" si="0">IF(C3&gt;=40,"Pass","Fail")</f>
        <v>Fail</v>
      </c>
    </row>
    <row r="4" spans="1:4" ht="16.5" thickBot="1" x14ac:dyDescent="0.3">
      <c r="A4" s="7">
        <v>3</v>
      </c>
      <c r="B4" s="1" t="s">
        <v>10</v>
      </c>
      <c r="C4" s="1">
        <v>62</v>
      </c>
      <c r="D4" s="8" t="str">
        <f t="shared" si="0"/>
        <v>Pass</v>
      </c>
    </row>
    <row r="5" spans="1:4" ht="16.5" thickBot="1" x14ac:dyDescent="0.3">
      <c r="A5" s="7">
        <v>4</v>
      </c>
      <c r="B5" s="1" t="s">
        <v>11</v>
      </c>
      <c r="C5" s="1">
        <v>40</v>
      </c>
      <c r="D5" s="8" t="str">
        <f t="shared" si="0"/>
        <v>Pass</v>
      </c>
    </row>
    <row r="6" spans="1:4" ht="15.75" x14ac:dyDescent="0.25">
      <c r="A6" s="9">
        <v>5</v>
      </c>
      <c r="B6" s="10" t="s">
        <v>12</v>
      </c>
      <c r="C6" s="10">
        <v>28</v>
      </c>
      <c r="D6" s="11" t="str">
        <f>IF(C6&gt;=40,"Pass","Fail")</f>
        <v>Fail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D1A53-EC5F-458B-97D4-D21718E14F28}">
  <dimension ref="A1:C5"/>
  <sheetViews>
    <sheetView workbookViewId="0">
      <selection activeCell="C6" sqref="C6"/>
    </sheetView>
  </sheetViews>
  <sheetFormatPr defaultRowHeight="15" x14ac:dyDescent="0.25"/>
  <cols>
    <col min="1" max="1" width="20" customWidth="1"/>
    <col min="2" max="2" width="9.5703125" customWidth="1"/>
    <col min="3" max="3" width="16.85546875" customWidth="1"/>
  </cols>
  <sheetData>
    <row r="1" spans="1:3" ht="16.5" thickBot="1" x14ac:dyDescent="0.3">
      <c r="A1" s="12" t="s">
        <v>13</v>
      </c>
      <c r="B1" s="13" t="s">
        <v>14</v>
      </c>
      <c r="C1" s="14" t="s">
        <v>15</v>
      </c>
    </row>
    <row r="2" spans="1:3" ht="16.5" thickBot="1" x14ac:dyDescent="0.3">
      <c r="A2" s="7" t="s">
        <v>16</v>
      </c>
      <c r="B2" s="1">
        <v>28000</v>
      </c>
      <c r="C2" s="8" t="str">
        <f>IF(B2&gt;=40000,"Bonus","No Bonus")</f>
        <v>No Bonus</v>
      </c>
    </row>
    <row r="3" spans="1:3" ht="32.25" thickBot="1" x14ac:dyDescent="0.3">
      <c r="A3" s="7" t="s">
        <v>17</v>
      </c>
      <c r="B3" s="1">
        <v>45000</v>
      </c>
      <c r="C3" s="8" t="str">
        <f t="shared" ref="C3:C5" si="0">IF(B3&gt;=40000,"Bonus","No Bonus")</f>
        <v>Bonus</v>
      </c>
    </row>
    <row r="4" spans="1:3" ht="16.5" thickBot="1" x14ac:dyDescent="0.3">
      <c r="A4" s="7" t="s">
        <v>18</v>
      </c>
      <c r="B4" s="1">
        <v>52000</v>
      </c>
      <c r="C4" s="8" t="str">
        <f t="shared" si="0"/>
        <v>Bonus</v>
      </c>
    </row>
    <row r="5" spans="1:3" ht="15.75" x14ac:dyDescent="0.25">
      <c r="A5" s="9" t="s">
        <v>19</v>
      </c>
      <c r="B5" s="10">
        <v>30000</v>
      </c>
      <c r="C5" s="11" t="str">
        <f t="shared" si="0"/>
        <v>No Bonus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CFF61-BB69-446C-9F89-AD87C92CA465}">
  <dimension ref="A1:C6"/>
  <sheetViews>
    <sheetView workbookViewId="0">
      <selection activeCell="E6" sqref="E6"/>
    </sheetView>
  </sheetViews>
  <sheetFormatPr defaultRowHeight="15" x14ac:dyDescent="0.25"/>
  <cols>
    <col min="1" max="1" width="17.85546875" customWidth="1"/>
    <col min="2" max="2" width="9.5703125" customWidth="1"/>
    <col min="3" max="3" width="9.42578125" customWidth="1"/>
  </cols>
  <sheetData>
    <row r="1" spans="1:3" ht="16.5" thickBot="1" x14ac:dyDescent="0.3">
      <c r="A1" s="4" t="s">
        <v>5</v>
      </c>
      <c r="B1" s="5" t="s">
        <v>6</v>
      </c>
      <c r="C1" s="6" t="s">
        <v>20</v>
      </c>
    </row>
    <row r="2" spans="1:3" ht="16.5" thickBot="1" x14ac:dyDescent="0.3">
      <c r="A2" s="7" t="s">
        <v>8</v>
      </c>
      <c r="B2" s="1">
        <v>82</v>
      </c>
      <c r="C2" s="8" t="str">
        <f>IF(B2&gt;=75,"A",IF(B2&gt;=60,"B",IF(B2&gt;=40,"C","Fail")))</f>
        <v>A</v>
      </c>
    </row>
    <row r="3" spans="1:3" ht="16.5" thickBot="1" x14ac:dyDescent="0.3">
      <c r="A3" s="7" t="s">
        <v>9</v>
      </c>
      <c r="B3" s="1">
        <v>67</v>
      </c>
      <c r="C3" s="8" t="str">
        <f t="shared" ref="C3:C6" si="0">IF(B3&gt;=75,"A",IF(B3&gt;=60,"B",IF(B3&gt;=40,"C","Fail")))</f>
        <v>B</v>
      </c>
    </row>
    <row r="4" spans="1:3" ht="16.5" thickBot="1" x14ac:dyDescent="0.3">
      <c r="A4" s="7" t="s">
        <v>10</v>
      </c>
      <c r="B4" s="1">
        <v>45</v>
      </c>
      <c r="C4" s="8" t="str">
        <f t="shared" si="0"/>
        <v>C</v>
      </c>
    </row>
    <row r="5" spans="1:3" ht="16.5" thickBot="1" x14ac:dyDescent="0.3">
      <c r="A5" s="7" t="s">
        <v>11</v>
      </c>
      <c r="B5" s="1">
        <v>33</v>
      </c>
      <c r="C5" s="8" t="str">
        <f t="shared" si="0"/>
        <v>Fail</v>
      </c>
    </row>
    <row r="6" spans="1:3" ht="15.75" x14ac:dyDescent="0.25">
      <c r="A6" s="9" t="s">
        <v>12</v>
      </c>
      <c r="B6" s="10">
        <v>90</v>
      </c>
      <c r="C6" s="11" t="str">
        <f t="shared" si="0"/>
        <v>A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8F2AA-82E7-4ADC-B764-86757DDD2BA2}">
  <dimension ref="A1:D5"/>
  <sheetViews>
    <sheetView workbookViewId="0">
      <selection activeCell="G4" sqref="G4"/>
    </sheetView>
  </sheetViews>
  <sheetFormatPr defaultRowHeight="15" x14ac:dyDescent="0.25"/>
  <cols>
    <col min="3" max="3" width="23" customWidth="1"/>
    <col min="4" max="4" width="13.140625" bestFit="1" customWidth="1"/>
  </cols>
  <sheetData>
    <row r="1" spans="1:4" ht="16.5" thickBot="1" x14ac:dyDescent="0.3">
      <c r="A1" s="4" t="s">
        <v>21</v>
      </c>
      <c r="B1" s="5" t="s">
        <v>22</v>
      </c>
      <c r="C1" s="5" t="s">
        <v>23</v>
      </c>
      <c r="D1" s="6" t="s">
        <v>24</v>
      </c>
    </row>
    <row r="2" spans="1:4" ht="16.5" thickBot="1" x14ac:dyDescent="0.3">
      <c r="A2" s="7" t="s">
        <v>16</v>
      </c>
      <c r="B2" s="1">
        <v>25</v>
      </c>
      <c r="C2" s="1">
        <v>2</v>
      </c>
      <c r="D2" s="8" t="str">
        <f>IF(AND(B2&gt;=21,C2&gt;=1),"Eligible","Not Eligible")</f>
        <v>Eligible</v>
      </c>
    </row>
    <row r="3" spans="1:4" ht="16.5" thickBot="1" x14ac:dyDescent="0.3">
      <c r="A3" s="7" t="s">
        <v>17</v>
      </c>
      <c r="B3" s="1">
        <v>20</v>
      </c>
      <c r="C3" s="1">
        <v>1</v>
      </c>
      <c r="D3" s="8" t="str">
        <f t="shared" ref="D3:D5" si="0">IF(AND(B3&gt;=21,C3&gt;=1),"Eligible","Not Eligible")</f>
        <v>Not Eligible</v>
      </c>
    </row>
    <row r="4" spans="1:4" ht="16.5" thickBot="1" x14ac:dyDescent="0.3">
      <c r="A4" s="7" t="s">
        <v>18</v>
      </c>
      <c r="B4" s="1">
        <v>30</v>
      </c>
      <c r="C4" s="1">
        <v>5</v>
      </c>
      <c r="D4" s="8" t="str">
        <f t="shared" si="0"/>
        <v>Eligible</v>
      </c>
    </row>
    <row r="5" spans="1:4" ht="15.75" x14ac:dyDescent="0.25">
      <c r="A5" s="9" t="s">
        <v>19</v>
      </c>
      <c r="B5" s="10">
        <v>22</v>
      </c>
      <c r="C5" s="10">
        <v>0</v>
      </c>
      <c r="D5" s="11" t="str">
        <f t="shared" si="0"/>
        <v>Not Eligible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4F75A-0EF9-4F98-A6AC-C4539033825C}">
  <dimension ref="A1:D5"/>
  <sheetViews>
    <sheetView workbookViewId="0">
      <selection activeCell="E9" sqref="E9"/>
    </sheetView>
  </sheetViews>
  <sheetFormatPr defaultRowHeight="15" x14ac:dyDescent="0.25"/>
  <cols>
    <col min="1" max="1" width="17.85546875" customWidth="1"/>
    <col min="2" max="2" width="17.5703125" customWidth="1"/>
    <col min="3" max="3" width="26.7109375" customWidth="1"/>
    <col min="4" max="4" width="13.140625" bestFit="1" customWidth="1"/>
  </cols>
  <sheetData>
    <row r="1" spans="1:4" ht="16.5" thickBot="1" x14ac:dyDescent="0.3">
      <c r="A1" s="12" t="s">
        <v>5</v>
      </c>
      <c r="B1" s="13" t="s">
        <v>25</v>
      </c>
      <c r="C1" s="13" t="s">
        <v>26</v>
      </c>
      <c r="D1" s="14" t="s">
        <v>24</v>
      </c>
    </row>
    <row r="2" spans="1:4" ht="16.5" thickBot="1" x14ac:dyDescent="0.3">
      <c r="A2" s="7" t="s">
        <v>8</v>
      </c>
      <c r="B2" s="1">
        <v>85</v>
      </c>
      <c r="C2" s="1" t="s">
        <v>27</v>
      </c>
      <c r="D2" s="8" t="str">
        <f>IF(AND(B2&gt;=75,C2="Yes"),"Eligible","Not Eligible")</f>
        <v>Eligible</v>
      </c>
    </row>
    <row r="3" spans="1:4" ht="16.5" thickBot="1" x14ac:dyDescent="0.3">
      <c r="A3" s="7" t="s">
        <v>9</v>
      </c>
      <c r="B3" s="1">
        <v>72</v>
      </c>
      <c r="C3" s="1" t="s">
        <v>27</v>
      </c>
      <c r="D3" s="8" t="str">
        <f t="shared" ref="D3:D5" si="0">IF(AND(B3&gt;=75,C3="Yes"),"Eligible","Not Eligible")</f>
        <v>Not Eligible</v>
      </c>
    </row>
    <row r="4" spans="1:4" ht="16.5" thickBot="1" x14ac:dyDescent="0.3">
      <c r="A4" s="7" t="s">
        <v>10</v>
      </c>
      <c r="B4" s="1">
        <v>90</v>
      </c>
      <c r="C4" s="1" t="s">
        <v>28</v>
      </c>
      <c r="D4" s="8" t="str">
        <f t="shared" si="0"/>
        <v>Not Eligible</v>
      </c>
    </row>
    <row r="5" spans="1:4" ht="15.75" x14ac:dyDescent="0.25">
      <c r="A5" s="9" t="s">
        <v>11</v>
      </c>
      <c r="B5" s="10">
        <v>80</v>
      </c>
      <c r="C5" s="10" t="s">
        <v>27</v>
      </c>
      <c r="D5" s="11" t="str">
        <f t="shared" si="0"/>
        <v>Eligible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B405B-E514-4A56-BC55-F06C4C81E131}">
  <dimension ref="A1:D5"/>
  <sheetViews>
    <sheetView workbookViewId="0">
      <selection activeCell="E5" sqref="E5"/>
    </sheetView>
  </sheetViews>
  <sheetFormatPr defaultRowHeight="15" x14ac:dyDescent="0.25"/>
  <cols>
    <col min="1" max="1" width="19.85546875" customWidth="1"/>
    <col min="2" max="2" width="21.42578125" customWidth="1"/>
    <col min="3" max="3" width="16.140625" customWidth="1"/>
    <col min="4" max="4" width="13.7109375" bestFit="1" customWidth="1"/>
  </cols>
  <sheetData>
    <row r="1" spans="1:4" ht="16.5" thickBot="1" x14ac:dyDescent="0.3">
      <c r="A1" s="12" t="s">
        <v>29</v>
      </c>
      <c r="B1" s="13" t="s">
        <v>30</v>
      </c>
      <c r="C1" s="13" t="s">
        <v>31</v>
      </c>
      <c r="D1" s="14" t="s">
        <v>32</v>
      </c>
    </row>
    <row r="2" spans="1:4" ht="16.5" thickBot="1" x14ac:dyDescent="0.3">
      <c r="A2" s="7" t="s">
        <v>33</v>
      </c>
      <c r="B2" s="1">
        <v>9000</v>
      </c>
      <c r="C2" s="1" t="s">
        <v>28</v>
      </c>
      <c r="D2" s="8" t="str">
        <f>IF(OR(B2&gt;=10000,C2="Yes"),"Discount","No Discount")</f>
        <v>No Discount</v>
      </c>
    </row>
    <row r="3" spans="1:4" ht="32.25" thickBot="1" x14ac:dyDescent="0.3">
      <c r="A3" s="7" t="s">
        <v>34</v>
      </c>
      <c r="B3" s="1">
        <v>12000</v>
      </c>
      <c r="C3" s="1" t="s">
        <v>28</v>
      </c>
      <c r="D3" s="8" t="str">
        <f>IF(OR(B3&gt;=10000,C3="Yes"),"Discount","No Discount")</f>
        <v>Discount</v>
      </c>
    </row>
    <row r="4" spans="1:4" ht="16.5" thickBot="1" x14ac:dyDescent="0.3">
      <c r="A4" s="7" t="s">
        <v>10</v>
      </c>
      <c r="B4" s="1">
        <v>4000</v>
      </c>
      <c r="C4" s="1" t="s">
        <v>27</v>
      </c>
      <c r="D4" s="8" t="str">
        <f t="shared" ref="D3:D5" si="0">IF(OR(B4&gt;=10000,C4="Yes"),"Discount","No Discount")</f>
        <v>Discount</v>
      </c>
    </row>
    <row r="5" spans="1:4" ht="15.75" x14ac:dyDescent="0.25">
      <c r="A5" s="9" t="s">
        <v>35</v>
      </c>
      <c r="B5" s="10">
        <v>3000</v>
      </c>
      <c r="C5" s="10" t="s">
        <v>28</v>
      </c>
      <c r="D5" s="11" t="str">
        <f t="shared" si="0"/>
        <v>No Discount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A876-C68E-41CB-A785-B2F7224975ED}">
  <dimension ref="A1:D5"/>
  <sheetViews>
    <sheetView workbookViewId="0">
      <selection sqref="A1:D5"/>
    </sheetView>
  </sheetViews>
  <sheetFormatPr defaultRowHeight="15" x14ac:dyDescent="0.25"/>
  <cols>
    <col min="1" max="1" width="13.140625" customWidth="1"/>
    <col min="2" max="2" width="9.5703125" customWidth="1"/>
    <col min="3" max="3" width="15" customWidth="1"/>
    <col min="4" max="4" width="15.42578125" customWidth="1"/>
  </cols>
  <sheetData>
    <row r="1" spans="1:4" ht="16.5" thickBot="1" x14ac:dyDescent="0.3">
      <c r="A1" s="4" t="s">
        <v>36</v>
      </c>
      <c r="B1" s="5" t="s">
        <v>14</v>
      </c>
      <c r="C1" s="5" t="s">
        <v>37</v>
      </c>
      <c r="D1" s="6" t="s">
        <v>38</v>
      </c>
    </row>
    <row r="2" spans="1:4" ht="16.5" thickBot="1" x14ac:dyDescent="0.3">
      <c r="A2" s="7" t="s">
        <v>16</v>
      </c>
      <c r="B2" s="1">
        <v>35000</v>
      </c>
      <c r="C2" s="1">
        <v>720</v>
      </c>
      <c r="D2" s="8" t="str">
        <f>IF(OR(B3&gt;=40000,C3&gt;=700),"Approved","Rejected")</f>
        <v>Rejected</v>
      </c>
    </row>
    <row r="3" spans="1:4" ht="32.25" thickBot="1" x14ac:dyDescent="0.3">
      <c r="A3" s="7" t="s">
        <v>17</v>
      </c>
      <c r="B3" s="1">
        <v>25000</v>
      </c>
      <c r="C3" s="1">
        <v>680</v>
      </c>
      <c r="D3" s="8" t="str">
        <f t="shared" ref="D3:D5" si="0">IF(OR(B4&gt;=40000,C4&gt;=700),"Approved","Rejected")</f>
        <v>Approved</v>
      </c>
    </row>
    <row r="4" spans="1:4" ht="16.5" thickBot="1" x14ac:dyDescent="0.3">
      <c r="A4" s="7" t="s">
        <v>18</v>
      </c>
      <c r="B4" s="1">
        <v>50000</v>
      </c>
      <c r="C4" s="1">
        <v>650</v>
      </c>
      <c r="D4" s="8" t="str">
        <f t="shared" si="0"/>
        <v>Rejected</v>
      </c>
    </row>
    <row r="5" spans="1:4" ht="15.75" x14ac:dyDescent="0.25">
      <c r="A5" s="9" t="s">
        <v>19</v>
      </c>
      <c r="B5" s="10">
        <v>20000</v>
      </c>
      <c r="C5" s="10">
        <v>600</v>
      </c>
      <c r="D5" s="11" t="str">
        <f t="shared" si="0"/>
        <v>Rejected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2A83B-BDC9-4A3F-824D-1DF96AC9840F}">
  <dimension ref="A1:C5"/>
  <sheetViews>
    <sheetView workbookViewId="0">
      <selection activeCell="F4" sqref="F4"/>
    </sheetView>
  </sheetViews>
  <sheetFormatPr defaultRowHeight="15" x14ac:dyDescent="0.25"/>
  <cols>
    <col min="2" max="2" width="11.140625" customWidth="1"/>
    <col min="3" max="3" width="9.7109375" customWidth="1"/>
  </cols>
  <sheetData>
    <row r="1" spans="1:3" ht="16.5" thickBot="1" x14ac:dyDescent="0.3">
      <c r="A1" s="4" t="s">
        <v>21</v>
      </c>
      <c r="B1" s="5" t="s">
        <v>39</v>
      </c>
      <c r="C1" s="6" t="s">
        <v>40</v>
      </c>
    </row>
    <row r="2" spans="1:3" ht="16.5" thickBot="1" x14ac:dyDescent="0.3">
      <c r="A2" s="7" t="s">
        <v>8</v>
      </c>
      <c r="B2" s="1" t="b">
        <v>1</v>
      </c>
      <c r="C2" s="8" t="str">
        <f>IF(NOT(B2),"Absent","Present")</f>
        <v>Present</v>
      </c>
    </row>
    <row r="3" spans="1:3" ht="32.25" thickBot="1" x14ac:dyDescent="0.3">
      <c r="A3" s="7" t="s">
        <v>9</v>
      </c>
      <c r="B3" s="1" t="b">
        <v>0</v>
      </c>
      <c r="C3" s="8" t="str">
        <f t="shared" ref="C3:C5" si="0">IF(NOT(B3),"Absent","Present")</f>
        <v>Absent</v>
      </c>
    </row>
    <row r="4" spans="1:3" ht="16.5" thickBot="1" x14ac:dyDescent="0.3">
      <c r="A4" s="7" t="s">
        <v>10</v>
      </c>
      <c r="B4" s="1" t="b">
        <v>1</v>
      </c>
      <c r="C4" s="8" t="str">
        <f t="shared" si="0"/>
        <v>Present</v>
      </c>
    </row>
    <row r="5" spans="1:3" ht="15.75" x14ac:dyDescent="0.25">
      <c r="A5" s="9" t="s">
        <v>11</v>
      </c>
      <c r="B5" s="10" t="b">
        <v>0</v>
      </c>
      <c r="C5" s="11" t="str">
        <f t="shared" si="0"/>
        <v>Absent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84FF7-CCC5-4747-91EE-A8B23DDDDC0F}">
  <dimension ref="A1:C5"/>
  <sheetViews>
    <sheetView workbookViewId="0">
      <selection activeCell="G8" sqref="G8"/>
    </sheetView>
  </sheetViews>
  <sheetFormatPr defaultRowHeight="15" x14ac:dyDescent="0.25"/>
  <cols>
    <col min="1" max="2" width="13.28515625" customWidth="1"/>
    <col min="3" max="3" width="10.140625" bestFit="1" customWidth="1"/>
  </cols>
  <sheetData>
    <row r="1" spans="1:3" ht="16.5" thickBot="1" x14ac:dyDescent="0.3">
      <c r="A1" s="4" t="s">
        <v>41</v>
      </c>
      <c r="B1" s="5" t="s">
        <v>42</v>
      </c>
      <c r="C1" s="6" t="s">
        <v>7</v>
      </c>
    </row>
    <row r="2" spans="1:3" ht="16.5" thickBot="1" x14ac:dyDescent="0.3">
      <c r="A2" s="7">
        <v>10</v>
      </c>
      <c r="B2" s="1">
        <v>2</v>
      </c>
      <c r="C2" s="8">
        <f>IFERROR(A2/B2,"Invalid")</f>
        <v>5</v>
      </c>
    </row>
    <row r="3" spans="1:3" ht="16.5" thickBot="1" x14ac:dyDescent="0.3">
      <c r="A3" s="7">
        <v>15</v>
      </c>
      <c r="B3" s="1">
        <v>0</v>
      </c>
      <c r="C3" s="8" t="str">
        <f t="shared" ref="C3:C5" si="0">IFERROR(A3/B3,"Invalid")</f>
        <v>Invalid</v>
      </c>
    </row>
    <row r="4" spans="1:3" ht="16.5" thickBot="1" x14ac:dyDescent="0.3">
      <c r="A4" s="7">
        <v>20</v>
      </c>
      <c r="B4" s="1">
        <v>5</v>
      </c>
      <c r="C4" s="8">
        <f t="shared" si="0"/>
        <v>4</v>
      </c>
    </row>
    <row r="5" spans="1:3" ht="15.75" x14ac:dyDescent="0.25">
      <c r="A5" s="9">
        <v>8</v>
      </c>
      <c r="B5" s="10">
        <v>0</v>
      </c>
      <c r="C5" s="11" t="str">
        <f t="shared" si="0"/>
        <v>Invalid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B33D-174E-4D31-9EB9-C293C48712A1}">
  <dimension ref="A1:L14"/>
  <sheetViews>
    <sheetView tabSelected="1" workbookViewId="0">
      <selection activeCell="C5" sqref="C5"/>
    </sheetView>
  </sheetViews>
  <sheetFormatPr defaultRowHeight="15" x14ac:dyDescent="0.25"/>
  <cols>
    <col min="1" max="1" width="20" customWidth="1"/>
    <col min="2" max="2" width="21.42578125" customWidth="1"/>
    <col min="3" max="3" width="17.5703125" customWidth="1"/>
    <col min="4" max="4" width="16.42578125" customWidth="1"/>
  </cols>
  <sheetData>
    <row r="1" spans="1:12" ht="16.5" thickBot="1" x14ac:dyDescent="0.3">
      <c r="A1" s="15" t="s">
        <v>13</v>
      </c>
      <c r="B1" s="16" t="s">
        <v>43</v>
      </c>
      <c r="C1" s="16" t="s">
        <v>25</v>
      </c>
      <c r="D1" s="17" t="s">
        <v>0</v>
      </c>
    </row>
    <row r="2" spans="1:12" ht="16.5" thickBot="1" x14ac:dyDescent="0.3">
      <c r="A2" s="7" t="s">
        <v>44</v>
      </c>
      <c r="B2" s="1">
        <v>45</v>
      </c>
      <c r="C2" s="1">
        <v>92</v>
      </c>
      <c r="D2" s="8" t="str">
        <f>IF(AND(C2&gt;=90,B2&gt;40),"Excellent",IF(C2&gt;=80,"Good","Needs Improvement"))</f>
        <v>Excellent</v>
      </c>
    </row>
    <row r="3" spans="1:12" ht="32.25" thickBot="1" x14ac:dyDescent="0.3">
      <c r="A3" s="7" t="s">
        <v>1</v>
      </c>
      <c r="B3" s="1">
        <v>38</v>
      </c>
      <c r="C3" s="1">
        <v>85</v>
      </c>
      <c r="D3" s="8" t="str">
        <f t="shared" ref="D3:D5" si="0">IF(AND(C3&gt;=90,B3&gt;40),"Excellent",IF(C3&gt;=80,"Good","Needs Improvement"))</f>
        <v>Good</v>
      </c>
    </row>
    <row r="4" spans="1:12" ht="16.5" thickBot="1" x14ac:dyDescent="0.3">
      <c r="A4" s="7" t="s">
        <v>2</v>
      </c>
      <c r="B4" s="1">
        <v>50</v>
      </c>
      <c r="C4" s="1">
        <v>95</v>
      </c>
      <c r="D4" s="8" t="str">
        <f t="shared" si="0"/>
        <v>Excellent</v>
      </c>
    </row>
    <row r="5" spans="1:12" ht="31.5" x14ac:dyDescent="0.25">
      <c r="A5" s="9" t="s">
        <v>3</v>
      </c>
      <c r="B5" s="10">
        <v>30</v>
      </c>
      <c r="C5" s="10">
        <v>70</v>
      </c>
      <c r="D5" s="11" t="str">
        <f t="shared" si="0"/>
        <v>Needs Improvement</v>
      </c>
    </row>
    <row r="7" spans="1:12" x14ac:dyDescent="0.25">
      <c r="G7" s="3" t="s">
        <v>45</v>
      </c>
      <c r="H7" s="2"/>
      <c r="I7" s="2"/>
      <c r="J7" s="2"/>
      <c r="K7" s="2"/>
      <c r="L7" s="2"/>
    </row>
    <row r="8" spans="1:12" x14ac:dyDescent="0.25">
      <c r="G8" s="2"/>
      <c r="H8" s="2"/>
      <c r="I8" s="2"/>
      <c r="J8" s="2"/>
      <c r="K8" s="2"/>
      <c r="L8" s="2"/>
    </row>
    <row r="9" spans="1:12" x14ac:dyDescent="0.25">
      <c r="G9" s="2"/>
      <c r="H9" s="2"/>
      <c r="I9" s="2"/>
      <c r="J9" s="2"/>
      <c r="K9" s="2"/>
      <c r="L9" s="2"/>
    </row>
    <row r="10" spans="1:12" x14ac:dyDescent="0.25">
      <c r="G10" s="2"/>
      <c r="H10" s="2"/>
      <c r="I10" s="2"/>
      <c r="J10" s="2"/>
      <c r="K10" s="2"/>
      <c r="L10" s="2"/>
    </row>
    <row r="11" spans="1:12" x14ac:dyDescent="0.25">
      <c r="G11" s="2"/>
      <c r="H11" s="2"/>
      <c r="I11" s="2"/>
      <c r="J11" s="2"/>
      <c r="K11" s="2"/>
      <c r="L11" s="2"/>
    </row>
    <row r="12" spans="1:12" x14ac:dyDescent="0.25">
      <c r="G12" s="2"/>
      <c r="H12" s="2"/>
      <c r="I12" s="2"/>
      <c r="J12" s="2"/>
      <c r="K12" s="2"/>
      <c r="L12" s="2"/>
    </row>
    <row r="13" spans="1:12" x14ac:dyDescent="0.25">
      <c r="G13" s="2"/>
      <c r="H13" s="2"/>
      <c r="I13" s="2"/>
      <c r="J13" s="2"/>
      <c r="K13" s="2"/>
      <c r="L13" s="2"/>
    </row>
    <row r="14" spans="1:12" x14ac:dyDescent="0.25">
      <c r="G14" s="2"/>
      <c r="H14" s="2"/>
      <c r="I14" s="2"/>
      <c r="J14" s="2"/>
      <c r="K14" s="2"/>
      <c r="L14" s="2"/>
    </row>
  </sheetData>
  <mergeCells count="1">
    <mergeCell ref="G7:L1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StudentResult</vt:lpstr>
      <vt:lpstr>SalaryBStatus</vt:lpstr>
      <vt:lpstr>Grades</vt:lpstr>
      <vt:lpstr>Elgibility</vt:lpstr>
      <vt:lpstr>Attendence</vt:lpstr>
      <vt:lpstr>Discount</vt:lpstr>
      <vt:lpstr>LoanApprovel</vt:lpstr>
      <vt:lpstr>PresentStatus</vt:lpstr>
      <vt:lpstr>IFerror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</dc:creator>
  <cp:lastModifiedBy>ASDC3</cp:lastModifiedBy>
  <dcterms:created xsi:type="dcterms:W3CDTF">2026-05-02T11:21:06Z</dcterms:created>
  <dcterms:modified xsi:type="dcterms:W3CDTF">2026-05-02T12:44:28Z</dcterms:modified>
</cp:coreProperties>
</file>