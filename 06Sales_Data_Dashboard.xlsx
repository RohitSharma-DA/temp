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SDC50\Downloads\"/>
    </mc:Choice>
  </mc:AlternateContent>
  <xr:revisionPtr revIDLastSave="0" documentId="13_ncr:1_{8BC4C9FE-57D0-4B7C-9A23-A11B9589C364}" xr6:coauthVersionLast="47" xr6:coauthVersionMax="47" xr10:uidLastSave="{00000000-0000-0000-0000-000000000000}"/>
  <bookViews>
    <workbookView xWindow="-110" yWindow="-110" windowWidth="19420" windowHeight="10300" firstSheet="1" activeTab="2" xr2:uid="{2CCA7C14-3C71-4F9A-A6A5-FEBB9C29C67C}"/>
  </bookViews>
  <sheets>
    <sheet name="Pivot Table" sheetId="13" r:id="rId1"/>
    <sheet name="Dashboard" sheetId="14" r:id="rId2"/>
    <sheet name="PvotData" sheetId="17" r:id="rId3"/>
    <sheet name="sales_data_large" sheetId="3" r:id="rId4"/>
    <sheet name="DBoard" sheetId="15" r:id="rId5"/>
  </sheets>
  <definedNames>
    <definedName name="_xlcn.WorksheetConnection_Book1sales_data_large1" hidden="1">sales_data_large[]</definedName>
    <definedName name="ExternalData_1" localSheetId="3" hidden="1">sales_data_large!$A$1:$I$301</definedName>
    <definedName name="Slicer_Category">#N/A</definedName>
    <definedName name="Slicer_Category1">#N/A</definedName>
    <definedName name="Slicer_Region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 i="17" l="1"/>
  <c r="K7" i="17"/>
  <c r="K6" i="17"/>
  <c r="L7" i="13"/>
  <c r="L5" i="13"/>
  <c r="L6"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1"/>
        </x15:connection>
      </ext>
    </extLst>
  </connection>
</connections>
</file>

<file path=xl/sharedStrings.xml><?xml version="1.0" encoding="utf-8"?>
<sst xmlns="http://schemas.openxmlformats.org/spreadsheetml/2006/main" count="1332" uniqueCount="58">
  <si>
    <t>Customer</t>
  </si>
  <si>
    <t>Region</t>
  </si>
  <si>
    <t>Category</t>
  </si>
  <si>
    <t>Product</t>
  </si>
  <si>
    <t>Quantity</t>
  </si>
  <si>
    <t>Date</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</si>
  <si>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</si>
  <si>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</si>
  <si>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</si>
  <si>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</si>
  <si>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</si>
  <si>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</si>
  <si>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</si>
  <si>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</si>
  <si>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</si>
  <si>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</si>
  <si>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</si>
  <si>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</si>
  <si>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</si>
  <si>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</si>
  <si>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</si>
  <si>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</si>
  <si>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</si>
  <si>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</si>
  <si>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</si>
  <si>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</si>
  <si>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</si>
  <si>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</si>
  <si>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</si>
  <si>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</si>
  <si>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</si>
  <si>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</si>
  <si>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</si>
  <si>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Grand Total</t>
  </si>
  <si>
    <t>Jan</t>
  </si>
  <si>
    <t>Feb</t>
  </si>
  <si>
    <t>Mar</t>
  </si>
  <si>
    <t>Apr</t>
  </si>
  <si>
    <t>May</t>
  </si>
  <si>
    <t>Jun</t>
  </si>
  <si>
    <t>Jul</t>
  </si>
  <si>
    <t>Aug</t>
  </si>
  <si>
    <t>Sep</t>
  </si>
  <si>
    <t>Oct</t>
  </si>
  <si>
    <t>Total Profit</t>
  </si>
  <si>
    <t>Total Sales</t>
  </si>
  <si>
    <t>Sum of Quantity</t>
  </si>
  <si>
    <t>Sum of Profit</t>
  </si>
  <si>
    <t>Products</t>
  </si>
  <si>
    <t>Unit Price</t>
  </si>
  <si>
    <t>Sum of Total Sales</t>
  </si>
  <si>
    <t>Total Qty</t>
  </si>
  <si>
    <t>Regions</t>
  </si>
  <si>
    <t>TOTAL SALES</t>
  </si>
  <si>
    <t>TOTAL QTY</t>
  </si>
  <si>
    <t>TOTAL PROFIT</t>
  </si>
  <si>
    <t>Categories</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</si>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</sst>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name val="Calibri"/>
      <family val="2"/>
      <scheme val="minor"/>
    </font>
    <font>
      <b/>
      <sz val="11"/>
      <color rgb="FFC3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7"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theme="6"/>
      </right>
      <top/>
      <bottom style="thin">
        <color theme="6"/>
      </bottom>
      <diagonal/>
    </border>
    <border>
      <left style="thin">
        <color theme="6"/>
      </left>
      <right/>
      <top/>
      <bottom style="thin">
        <color theme="6"/>
      </bottom>
      <diagonal/>
    </border>
    <border>
      <left/>
      <right style="thin">
        <color theme="6"/>
      </right>
      <top style="thin">
        <color theme="6"/>
      </top>
      <bottom style="thin">
        <color theme="6"/>
      </bottom>
      <diagonal/>
    </border>
    <border>
      <left style="thin">
        <color theme="6"/>
      </left>
      <right/>
      <top style="thin">
        <color theme="6"/>
      </top>
      <bottom style="thin">
        <color theme="6"/>
      </bottom>
      <diagonal/>
    </border>
    <border>
      <left/>
      <right style="thin">
        <color theme="6"/>
      </right>
      <top style="thin">
        <color theme="6"/>
      </top>
      <bottom/>
      <diagonal/>
    </border>
    <border>
      <left style="thin">
        <color theme="6"/>
      </left>
      <right/>
      <top style="thin">
        <color theme="6"/>
      </top>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3" borderId="1" xfId="0" applyFill="1" applyBorder="1"/>
    <xf numFmtId="0" fontId="2" fillId="4" borderId="2" xfId="0" applyFont="1" applyFill="1" applyBorder="1"/>
    <xf numFmtId="0" fontId="1" fillId="4" borderId="3" xfId="0" applyFont="1" applyFill="1" applyBorder="1"/>
    <xf numFmtId="0" fontId="2" fillId="4" borderId="4" xfId="0" applyFont="1" applyFill="1" applyBorder="1"/>
    <xf numFmtId="0" fontId="1" fillId="4" borderId="5" xfId="0" applyFont="1" applyFill="1" applyBorder="1"/>
    <xf numFmtId="0" fontId="2" fillId="4" borderId="6" xfId="0" applyFont="1" applyFill="1" applyBorder="1"/>
    <xf numFmtId="0" fontId="1" fillId="4" borderId="7" xfId="0" applyFont="1" applyFill="1" applyBorder="1"/>
    <xf numFmtId="0" fontId="0" fillId="0" borderId="0" xfId="0" applyNumberFormat="1"/>
  </cellXfs>
  <cellStyles count="1">
    <cellStyle name="Normal" xfId="0" builtinId="0"/>
  </cellStyles>
  <dxfs count="5">
    <dxf>
      <numFmt numFmtId="19" formatCode="dd/mm/yyyy"/>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Invisible" pivot="0" table="0" count="0" xr9:uid="{9D438052-85B0-487E-8D70-A9390453B851}"/>
    <tableStyle name="Slicer Style 1" pivot="0" table="0" count="1" xr9:uid="{4535A9A9-5659-4BED-AC00-423A1C571928}"/>
  </tableStyles>
  <extLst>
    <ext xmlns:x14="http://schemas.microsoft.com/office/spreadsheetml/2009/9/main" uri="{46F421CA-312F-682f-3DD2-61675219B42D}">
      <x14:dxfs count="1">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4.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4.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4.jpeg"/><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4.jpeg"/><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244220598551309"/>
              <c:y val="7.0503658881778911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003381334089995"/>
              <c:y val="-1.3601898813473595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957201295783974"/>
              <c:y val="-7.5726904033818557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15770100809471"/>
              <c:y val="1.4806638422667004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E8-4B7B-9081-89EBB1F7D8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E8-4B7B-9081-89EBB1F7D8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E8-4B7B-9081-89EBB1F7D88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E8-4B7B-9081-89EBB1F7D889}"/>
              </c:ext>
            </c:extLst>
          </c:dPt>
          <c:dLbls>
            <c:dLbl>
              <c:idx val="0"/>
              <c:layout>
                <c:manualLayout>
                  <c:x val="0.15244220598551309"/>
                  <c:y val="7.050365888177891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E8-4B7B-9081-89EBB1F7D889}"/>
                </c:ext>
              </c:extLst>
            </c:dLbl>
            <c:dLbl>
              <c:idx val="1"/>
              <c:layout>
                <c:manualLayout>
                  <c:x val="0.13003381334089995"/>
                  <c:y val="-1.360189881347359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E8-4B7B-9081-89EBB1F7D889}"/>
                </c:ext>
              </c:extLst>
            </c:dLbl>
            <c:dLbl>
              <c:idx val="2"/>
              <c:layout>
                <c:manualLayout>
                  <c:x val="-0.15957201295783974"/>
                  <c:y val="-7.572690403381855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E8-4B7B-9081-89EBB1F7D889}"/>
                </c:ext>
              </c:extLst>
            </c:dLbl>
            <c:dLbl>
              <c:idx val="3"/>
              <c:layout>
                <c:manualLayout>
                  <c:x val="-0.1215770100809471"/>
                  <c:y val="1.480663842266700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E8-4B7B-9081-89EBB1F7D889}"/>
                </c:ext>
              </c:extLst>
            </c:dLbl>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0DE8-4B7B-9081-89EBB1F7D88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0481927710843373"/>
              <c:y val="-5.512490728869554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1686746987951808"/>
              <c:y val="0.1653747218660866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2489959839357429"/>
              <c:y val="4.8234293877608601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5301204819277112"/>
              <c:y val="-4.1343680466521655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53-49DF-B14D-6F9471DBDD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53-49DF-B14D-6F9471DBDD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53-49DF-B14D-6F9471DBDD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53-49DF-B14D-6F9471DBDD3B}"/>
              </c:ext>
            </c:extLst>
          </c:dPt>
          <c:dLbls>
            <c:dLbl>
              <c:idx val="0"/>
              <c:layout>
                <c:manualLayout>
                  <c:x val="0.20481927710843373"/>
                  <c:y val="-5.51249072886955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53-49DF-B14D-6F9471DBDD3B}"/>
                </c:ext>
              </c:extLst>
            </c:dLbl>
            <c:dLbl>
              <c:idx val="1"/>
              <c:layout>
                <c:manualLayout>
                  <c:x val="0.21686746987951808"/>
                  <c:y val="0.165374721866086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53-49DF-B14D-6F9471DBDD3B}"/>
                </c:ext>
              </c:extLst>
            </c:dLbl>
            <c:dLbl>
              <c:idx val="2"/>
              <c:layout>
                <c:manualLayout>
                  <c:x val="-0.22489959839357429"/>
                  <c:y val="4.82342938776086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53-49DF-B14D-6F9471DBDD3B}"/>
                </c:ext>
              </c:extLst>
            </c:dLbl>
            <c:dLbl>
              <c:idx val="3"/>
              <c:layout>
                <c:manualLayout>
                  <c:x val="-0.25301204819277112"/>
                  <c:y val="-4.134368046652165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53-49DF-B14D-6F9471DBDD3B}"/>
                </c:ext>
              </c:extLst>
            </c:dLbl>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Table'!$A$12:$A$16</c:f>
              <c:strCache>
                <c:ptCount val="4"/>
                <c:pt idx="0">
                  <c:v>Accessories</c:v>
                </c:pt>
                <c:pt idx="1">
                  <c:v>Clothing</c:v>
                </c:pt>
                <c:pt idx="2">
                  <c:v>Electronics</c:v>
                </c:pt>
                <c:pt idx="3">
                  <c:v>Home Appliances</c:v>
                </c:pt>
              </c:strCache>
            </c:strRef>
          </c:cat>
          <c:val>
            <c:numRef>
              <c:f>'Pivot Table'!$B$12:$B$16</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D553-49DF-B14D-6F9471DBDD3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Table'!$D$4:$D$12</c:f>
              <c:strCache>
                <c:ptCount val="8"/>
                <c:pt idx="0">
                  <c:v>Camera</c:v>
                </c:pt>
                <c:pt idx="1">
                  <c:v>Fridge</c:v>
                </c:pt>
                <c:pt idx="2">
                  <c:v>Headphones</c:v>
                </c:pt>
                <c:pt idx="3">
                  <c:v>Jeans</c:v>
                </c:pt>
                <c:pt idx="4">
                  <c:v>Laptop</c:v>
                </c:pt>
                <c:pt idx="5">
                  <c:v>Microwave</c:v>
                </c:pt>
                <c:pt idx="6">
                  <c:v>Mobile</c:v>
                </c:pt>
                <c:pt idx="7">
                  <c:v>Shirt</c:v>
                </c:pt>
              </c:strCache>
            </c:strRef>
          </c:cat>
          <c:val>
            <c:numRef>
              <c:f>'Pivot Table'!$E$4:$E$12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CE93-47E7-83DF-98359ECE29D6}"/>
            </c:ext>
          </c:extLst>
        </c:ser>
        <c:dLbls>
          <c:showLegendKey val="0"/>
          <c:showVal val="0"/>
          <c:showCatName val="0"/>
          <c:showSerName val="0"/>
          <c:showPercent val="0"/>
          <c:showBubbleSize val="0"/>
        </c:dLbls>
        <c:gapWidth val="182"/>
        <c:axId val="1998603056"/>
        <c:axId val="1998600560"/>
      </c:barChart>
      <c:catAx>
        <c:axId val="1998603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600560"/>
        <c:crosses val="autoZero"/>
        <c:auto val="1"/>
        <c:lblAlgn val="ctr"/>
        <c:lblOffset val="100"/>
        <c:noMultiLvlLbl val="0"/>
      </c:catAx>
      <c:valAx>
        <c:axId val="1998600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60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Time</a:t>
            </a:r>
          </a:p>
        </c:rich>
      </c:tx>
      <c:layout>
        <c:manualLayout>
          <c:xMode val="edge"/>
          <c:yMode val="edge"/>
          <c:x val="0.36714107259926743"/>
          <c:y val="4.23499674594410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accent1"/>
              </a:solidFill>
              <a:round/>
            </a:ln>
            <a:effectLst/>
          </c:spPr>
          <c:marker>
            <c:symbol val="none"/>
          </c:marker>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Table'!$H$4:$H$14</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BDC7-4A49-B6ED-39D839D876AB}"/>
            </c:ext>
          </c:extLst>
        </c:ser>
        <c:dLbls>
          <c:showLegendKey val="0"/>
          <c:showVal val="0"/>
          <c:showCatName val="0"/>
          <c:showSerName val="0"/>
          <c:showPercent val="0"/>
          <c:showBubbleSize val="0"/>
        </c:dLbls>
        <c:smooth val="0"/>
        <c:axId val="178609088"/>
        <c:axId val="178607840"/>
      </c:lineChart>
      <c:catAx>
        <c:axId val="17860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07840"/>
        <c:crosses val="autoZero"/>
        <c:auto val="1"/>
        <c:lblAlgn val="ctr"/>
        <c:lblOffset val="100"/>
        <c:noMultiLvlLbl val="0"/>
      </c:catAx>
      <c:valAx>
        <c:axId val="17860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0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[06Sales_Data_Dashboard.xlsx]PvotData!PtRegionSales</c:name>
    <c:fmtId val="10"/>
  </c:pivotSource>
  <c:chart>
    <c:title>
      <c:tx>
        <c:rich>
          <a:bodyPr rot="0" spcFirstLastPara="1" vertOverflow="ellipsis" vert="horz" wrap="square" anchor="ctr" anchorCtr="1"/>
          <a:lstStyle/>
          <a:p>
            <a:pPr>
              <a:defRPr sz="1400" b="1" i="0" u="none" strike="noStrike" kern="1200" cap="all" baseline="0">
                <a:solidFill>
                  <a:schemeClr val="accent6">
                    <a:lumMod val="50000"/>
                  </a:schemeClr>
                </a:solidFill>
                <a:latin typeface="+mn-lt"/>
                <a:ea typeface="+mn-ea"/>
                <a:cs typeface="+mn-cs"/>
              </a:defRPr>
            </a:pPr>
            <a:r>
              <a:rPr lang="en-US" sz="1400">
                <a:solidFill>
                  <a:schemeClr val="accent6">
                    <a:lumMod val="50000"/>
                  </a:schemeClr>
                </a:solidFill>
              </a:rPr>
              <a:t>Total Sales Vs Region</a:t>
            </a:r>
          </a:p>
        </c:rich>
      </c:tx>
      <c:overlay val="0"/>
      <c:spPr>
        <a:noFill/>
        <a:ln>
          <a:noFill/>
        </a:ln>
        <a:effectLst/>
      </c:spPr>
      <c:txPr>
        <a:bodyPr rot="0" spcFirstLastPara="1" vertOverflow="ellipsis" vert="horz" wrap="square" anchor="ctr" anchorCtr="1"/>
        <a:lstStyle/>
        <a:p>
          <a:pPr>
            <a:defRPr sz="1400" b="1" i="0" u="none" strike="noStrike" kern="1200" cap="all" baseline="0">
              <a:solidFill>
                <a:schemeClr val="accent6">
                  <a:lumMod val="50000"/>
                </a:schemeClr>
              </a:solidFill>
              <a:latin typeface="+mn-lt"/>
              <a:ea typeface="+mn-ea"/>
              <a:cs typeface="+mn-cs"/>
            </a:defRPr>
          </a:pPr>
          <a:endParaRPr lang="en-US"/>
        </a:p>
      </c:txPr>
    </c:title>
    <c:autoTitleDeleted val="0"/>
    <c:pivotFmts>
      <c:pivotFmt>
        <c:idx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7777777777777779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5"/>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7777777777777779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50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4662516422556749E-16"/>
              <c:y val="-3.4041230094591736E-2"/>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3993485863050723E-2"/>
              <c:y val="0.12481784368016968"/>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5995657242033834E-2"/>
              <c:y val="5.6735383490986221E-3"/>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7205886149964934E-2"/>
              <c:y val="-8.1971460761898124E-2"/>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PvotData!$B$2</c:f>
              <c:strCache>
                <c:ptCount val="1"/>
                <c:pt idx="0">
                  <c:v>Total</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C98-4FA9-BD29-1851E2BB6B7B}"/>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C98-4FA9-BD29-1851E2BB6B7B}"/>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C98-4FA9-BD29-1851E2BB6B7B}"/>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8C98-4FA9-BD29-1851E2BB6B7B}"/>
              </c:ext>
            </c:extLst>
          </c:dPt>
          <c:dLbls>
            <c:dLbl>
              <c:idx val="0"/>
              <c:layout>
                <c:manualLayout>
                  <c:x val="-1.4662516422556749E-16"/>
                  <c:y val="-3.4041230094591736E-2"/>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98-4FA9-BD29-1851E2BB6B7B}"/>
                </c:ext>
              </c:extLst>
            </c:dLbl>
            <c:dLbl>
              <c:idx val="1"/>
              <c:layout>
                <c:manualLayout>
                  <c:x val="-2.3993485863050723E-2"/>
                  <c:y val="0.12481784368016968"/>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98-4FA9-BD29-1851E2BB6B7B}"/>
                </c:ext>
              </c:extLst>
            </c:dLbl>
            <c:dLbl>
              <c:idx val="2"/>
              <c:layout>
                <c:manualLayout>
                  <c:x val="1.5995657242033834E-2"/>
                  <c:y val="5.6735383490986221E-3"/>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98-4FA9-BD29-1851E2BB6B7B}"/>
                </c:ext>
              </c:extLst>
            </c:dLbl>
            <c:dLbl>
              <c:idx val="3"/>
              <c:layout>
                <c:manualLayout>
                  <c:x val="5.7205886149964934E-2"/>
                  <c:y val="-8.1971460761898124E-2"/>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50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8C98-4FA9-BD29-1851E2BB6B7B}"/>
                </c:ext>
              </c:extLst>
            </c:dLbl>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50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PvotData!$A$3:$A$7</c:f>
              <c:strCache>
                <c:ptCount val="4"/>
                <c:pt idx="0">
                  <c:v>East</c:v>
                </c:pt>
                <c:pt idx="1">
                  <c:v>North</c:v>
                </c:pt>
                <c:pt idx="2">
                  <c:v>South</c:v>
                </c:pt>
                <c:pt idx="3">
                  <c:v>West</c:v>
                </c:pt>
              </c:strCache>
            </c:strRef>
          </c:cat>
          <c:val>
            <c:numRef>
              <c:f>PvotData!$B$3:$B$7</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8C98-4FA9-BD29-1851E2BB6B7B}"/>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[06Sales_Data_Dashboard.xlsx]PvotData!PtCategorySales</c:name>
    <c:fmtId val="6"/>
  </c:pivotSource>
  <c:chart>
    <c:title>
      <c:tx>
        <c:rich>
          <a:bodyPr rot="0" spcFirstLastPara="1" vertOverflow="ellipsis" vert="horz" wrap="square" anchor="ctr" anchorCtr="1"/>
          <a:lstStyle/>
          <a:p>
            <a:pPr>
              <a:defRPr sz="1400" b="1" i="0" u="none" strike="noStrike" kern="1200" cap="all" spc="150" baseline="0">
                <a:solidFill>
                  <a:schemeClr val="accent6">
                    <a:lumMod val="50000"/>
                  </a:schemeClr>
                </a:solidFill>
                <a:latin typeface="+mn-lt"/>
                <a:ea typeface="+mn-ea"/>
                <a:cs typeface="+mn-cs"/>
              </a:defRPr>
            </a:pPr>
            <a:r>
              <a:rPr lang="en-US" sz="1400">
                <a:solidFill>
                  <a:schemeClr val="accent6">
                    <a:lumMod val="50000"/>
                  </a:schemeClr>
                </a:solidFill>
              </a:rPr>
              <a:t>Sales by categories</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accent6">
                  <a:lumMod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9.0808416389811769E-2"/>
              <c:y val="-0.1166074956178180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2392044017753591"/>
                  <c:h val="0.22572438162544167"/>
                </c:manualLayout>
              </c15:layout>
            </c:ext>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517165005537099"/>
              <c:y val="-7.77385159010600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0019933554817274"/>
                  <c:h val="0.25409921816310066"/>
                </c:manualLayout>
              </c15:layout>
            </c:ext>
          </c:extLst>
        </c:dLbl>
      </c:pivotFmt>
      <c:pivotFmt>
        <c:idx val="3"/>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Lbl>
          <c:idx val="0"/>
          <c:layout>
            <c:manualLayout>
              <c:x val="-0.15503875968992248"/>
              <c:y val="1.4134275618374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7676633444075305"/>
                  <c:h val="0.25409921816310066"/>
                </c:manualLayout>
              </c15:layout>
            </c:ext>
          </c:extLst>
        </c:dLbl>
      </c:pivotFmt>
      <c:pivotFmt>
        <c:idx val="4"/>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7.530454042081941E-2"/>
              <c:y val="0.155477031802120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7871539313399779"/>
                  <c:h val="0.17646643109540636"/>
                </c:manualLayout>
              </c15:layout>
            </c:ext>
          </c:extLst>
        </c:dLbl>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1517165005537099"/>
              <c:y val="-7.77385159010600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0019933554817274"/>
                  <c:h val="0.25409921816310066"/>
                </c:manualLayout>
              </c15:layout>
            </c:ext>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7.530454042081941E-2"/>
              <c:y val="0.155477031802120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7871539313399779"/>
                  <c:h val="0.17646643109540636"/>
                </c:manualLayout>
              </c15:layout>
            </c:ext>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5503875968992248"/>
              <c:y val="1.4134275618374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7676633444075305"/>
                  <c:h val="0.25409921816310066"/>
                </c:manualLayout>
              </c15:layout>
            </c:ext>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9.0808416389811769E-2"/>
              <c:y val="-0.1166074956178180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32392044017753591"/>
                  <c:h val="0.22572438162544167"/>
                </c:manualLayout>
              </c15:layout>
            </c:ext>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solidFill>
              <a:schemeClr val="accent4">
                <a:lumMod val="60000"/>
                <a:lumOff val="40000"/>
              </a:schemeClr>
            </a:solidFill>
            <a:ln>
              <a:noFill/>
            </a:ln>
            <a:effectLst/>
          </c:spPr>
          <c:txPr>
            <a:bodyPr rot="0" spcFirstLastPara="1" vertOverflow="overflow" horzOverflow="overflow" wrap="square" lIns="38100" tIns="18000" rIns="38100" bIns="18000" anchor="ctr" anchorCtr="1">
              <a:spAutoFit/>
            </a:bodyPr>
            <a:lstStyle/>
            <a:p>
              <a:pPr>
                <a:defRPr sz="900" b="0" i="0" u="none" strike="noStrike" kern="1200" baseline="0">
                  <a:ln>
                    <a:noFill/>
                  </a:ln>
                  <a:solidFill>
                    <a:schemeClr val="accen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4710269341698229"/>
              <c:y val="-9.2512032149842355E-2"/>
            </c:manualLayout>
          </c:layout>
          <c:spPr>
            <a:solidFill>
              <a:schemeClr val="accent4">
                <a:lumMod val="60000"/>
                <a:lumOff val="40000"/>
              </a:schemeClr>
            </a:solidFill>
            <a:ln>
              <a:noFill/>
            </a:ln>
            <a:effectLst/>
          </c:spPr>
          <c:txPr>
            <a:bodyPr rot="0" spcFirstLastPara="1" vertOverflow="overflow" horzOverflow="overflow" wrap="square" lIns="38100" tIns="18000" rIns="38100" bIns="18000" anchor="ctr" anchorCtr="1">
              <a:spAutoFit/>
            </a:bodyPr>
            <a:lstStyle/>
            <a:p>
              <a:pPr>
                <a:defRPr sz="900" b="0" i="0" u="none" strike="noStrike" kern="1200" baseline="0">
                  <a:ln>
                    <a:noFill/>
                  </a:ln>
                  <a:solidFill>
                    <a:schemeClr val="accen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7.530454042081941E-2"/>
              <c:y val="0.15547703180212014"/>
            </c:manualLayout>
          </c:layout>
          <c:spPr>
            <a:solidFill>
              <a:schemeClr val="accent4">
                <a:lumMod val="60000"/>
                <a:lumOff val="40000"/>
              </a:schemeClr>
            </a:solidFill>
            <a:ln>
              <a:noFill/>
            </a:ln>
            <a:effectLst/>
          </c:spPr>
          <c:txPr>
            <a:bodyPr rot="0" spcFirstLastPara="1" vertOverflow="overflow" horzOverflow="overflow" wrap="square" lIns="38100" tIns="18000" rIns="38100" bIns="18000" anchor="ctr" anchorCtr="1">
              <a:spAutoFit/>
            </a:bodyPr>
            <a:lstStyle/>
            <a:p>
              <a:pPr>
                <a:defRPr sz="900" b="0" i="0" u="none" strike="noStrike" kern="1200" baseline="0">
                  <a:ln>
                    <a:noFill/>
                  </a:ln>
                  <a:solidFill>
                    <a:schemeClr val="accen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0.15503875968992248"/>
              <c:y val="1.4134275618374428E-2"/>
            </c:manualLayout>
          </c:layout>
          <c:spPr>
            <a:solidFill>
              <a:schemeClr val="accent4">
                <a:lumMod val="60000"/>
                <a:lumOff val="40000"/>
              </a:schemeClr>
            </a:solidFill>
            <a:ln>
              <a:noFill/>
            </a:ln>
            <a:effectLst/>
          </c:spPr>
          <c:txPr>
            <a:bodyPr rot="0" spcFirstLastPara="1" vertOverflow="overflow" horzOverflow="overflow" wrap="square" lIns="38100" tIns="18000" rIns="38100" bIns="18000" anchor="ctr" anchorCtr="1">
              <a:spAutoFit/>
            </a:bodyPr>
            <a:lstStyle/>
            <a:p>
              <a:pPr>
                <a:defRPr sz="900" b="0" i="0" u="none" strike="noStrike" kern="1200" baseline="0">
                  <a:ln>
                    <a:noFill/>
                  </a:ln>
                  <a:solidFill>
                    <a:schemeClr val="accen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9.0808416389811769E-2"/>
              <c:y val="-0.11660749561781809"/>
            </c:manualLayout>
          </c:layout>
          <c:spPr>
            <a:solidFill>
              <a:schemeClr val="accent4">
                <a:lumMod val="60000"/>
                <a:lumOff val="40000"/>
              </a:schemeClr>
            </a:solidFill>
            <a:ln>
              <a:noFill/>
            </a:ln>
            <a:effectLst/>
          </c:spPr>
          <c:txPr>
            <a:bodyPr rot="0" spcFirstLastPara="1" vertOverflow="overflow" horzOverflow="overflow" wrap="square" lIns="38100" tIns="18000" rIns="38100" bIns="18000" anchor="ctr" anchorCtr="1">
              <a:spAutoFit/>
            </a:bodyPr>
            <a:lstStyle/>
            <a:p>
              <a:pPr>
                <a:defRPr sz="900" b="0" i="0" u="none" strike="noStrike" kern="1200" baseline="0">
                  <a:ln>
                    <a:noFill/>
                  </a:ln>
                  <a:solidFill>
                    <a:schemeClr val="accen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PvotData!$E$2</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9328-4631-9B6F-C356ACA7879A}"/>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9328-4631-9B6F-C356ACA7879A}"/>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9328-4631-9B6F-C356ACA7879A}"/>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9328-4631-9B6F-C356ACA7879A}"/>
              </c:ext>
            </c:extLst>
          </c:dPt>
          <c:dLbls>
            <c:dLbl>
              <c:idx val="0"/>
              <c:layout>
                <c:manualLayout>
                  <c:x val="0.14710269341698229"/>
                  <c:y val="-9.2512032149842355E-2"/>
                </c:manualLayout>
              </c:layout>
              <c:spPr>
                <a:solidFill>
                  <a:schemeClr val="accent4">
                    <a:lumMod val="60000"/>
                    <a:lumOff val="40000"/>
                  </a:schemeClr>
                </a:solidFill>
                <a:ln>
                  <a:noFill/>
                </a:ln>
                <a:effectLst/>
              </c:spPr>
              <c:txPr>
                <a:bodyPr rot="0" spcFirstLastPara="1" vertOverflow="overflow" horzOverflow="overflow" wrap="square" lIns="38100" tIns="18000" rIns="38100" bIns="18000" anchor="ctr" anchorCtr="1">
                  <a:spAutoFit/>
                </a:bodyPr>
                <a:lstStyle/>
                <a:p>
                  <a:pPr>
                    <a:defRPr sz="900" b="0" i="0" u="none" strike="noStrike" kern="1200" baseline="0">
                      <a:ln>
                        <a:noFill/>
                      </a:ln>
                      <a:solidFill>
                        <a:schemeClr val="accen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9328-4631-9B6F-C356ACA7879A}"/>
                </c:ext>
              </c:extLst>
            </c:dLbl>
            <c:dLbl>
              <c:idx val="1"/>
              <c:layout>
                <c:manualLayout>
                  <c:x val="7.530454042081941E-2"/>
                  <c:y val="0.15547703180212014"/>
                </c:manualLayout>
              </c:layout>
              <c:spPr>
                <a:solidFill>
                  <a:schemeClr val="accent4">
                    <a:lumMod val="60000"/>
                    <a:lumOff val="40000"/>
                  </a:schemeClr>
                </a:solidFill>
                <a:ln>
                  <a:noFill/>
                </a:ln>
                <a:effectLst/>
              </c:spPr>
              <c:txPr>
                <a:bodyPr rot="0" spcFirstLastPara="1" vertOverflow="overflow" horzOverflow="overflow" wrap="square" lIns="38100" tIns="18000" rIns="38100" bIns="18000" anchor="ctr" anchorCtr="1">
                  <a:spAutoFit/>
                </a:bodyPr>
                <a:lstStyle/>
                <a:p>
                  <a:pPr>
                    <a:defRPr sz="900" b="0" i="0" u="none" strike="noStrike" kern="1200" baseline="0">
                      <a:ln>
                        <a:noFill/>
                      </a:ln>
                      <a:solidFill>
                        <a:schemeClr val="accen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9328-4631-9B6F-C356ACA7879A}"/>
                </c:ext>
              </c:extLst>
            </c:dLbl>
            <c:dLbl>
              <c:idx val="2"/>
              <c:layout>
                <c:manualLayout>
                  <c:x val="-0.15503875968992248"/>
                  <c:y val="1.4134275618374428E-2"/>
                </c:manualLayout>
              </c:layout>
              <c:spPr>
                <a:solidFill>
                  <a:schemeClr val="accent4">
                    <a:lumMod val="60000"/>
                    <a:lumOff val="40000"/>
                  </a:schemeClr>
                </a:solidFill>
                <a:ln>
                  <a:noFill/>
                </a:ln>
                <a:effectLst/>
              </c:spPr>
              <c:txPr>
                <a:bodyPr rot="0" spcFirstLastPara="1" vertOverflow="overflow" horzOverflow="overflow" wrap="square" lIns="38100" tIns="18000" rIns="38100" bIns="18000" anchor="ctr" anchorCtr="1">
                  <a:spAutoFit/>
                </a:bodyPr>
                <a:lstStyle/>
                <a:p>
                  <a:pPr>
                    <a:defRPr sz="900" b="0" i="0" u="none" strike="noStrike" kern="1200" baseline="0">
                      <a:ln>
                        <a:noFill/>
                      </a:ln>
                      <a:solidFill>
                        <a:schemeClr val="accen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5-9328-4631-9B6F-C356ACA7879A}"/>
                </c:ext>
              </c:extLst>
            </c:dLbl>
            <c:dLbl>
              <c:idx val="3"/>
              <c:layout>
                <c:manualLayout>
                  <c:x val="-9.0808416389811769E-2"/>
                  <c:y val="-0.11660749561781809"/>
                </c:manualLayout>
              </c:layout>
              <c:spPr>
                <a:solidFill>
                  <a:schemeClr val="accent4">
                    <a:lumMod val="60000"/>
                    <a:lumOff val="40000"/>
                  </a:schemeClr>
                </a:solidFill>
                <a:ln>
                  <a:noFill/>
                </a:ln>
                <a:effectLst/>
              </c:spPr>
              <c:txPr>
                <a:bodyPr rot="0" spcFirstLastPara="1" vertOverflow="overflow" horzOverflow="overflow" wrap="square" lIns="38100" tIns="18000" rIns="38100" bIns="18000" anchor="ctr" anchorCtr="1">
                  <a:spAutoFit/>
                </a:bodyPr>
                <a:lstStyle/>
                <a:p>
                  <a:pPr>
                    <a:defRPr sz="900" b="0" i="0" u="none" strike="noStrike" kern="1200" baseline="0">
                      <a:ln>
                        <a:noFill/>
                      </a:ln>
                      <a:solidFill>
                        <a:schemeClr val="accent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7-9328-4631-9B6F-C356ACA7879A}"/>
                </c:ext>
              </c:extLst>
            </c:dLbl>
            <c:spPr>
              <a:solidFill>
                <a:schemeClr val="accent4">
                  <a:lumMod val="60000"/>
                  <a:lumOff val="40000"/>
                </a:schemeClr>
              </a:solidFill>
              <a:ln>
                <a:noFill/>
              </a:ln>
              <a:effectLst/>
            </c:spPr>
            <c:txPr>
              <a:bodyPr rot="0" spcFirstLastPara="1" vertOverflow="overflow" horzOverflow="overflow" wrap="square" lIns="38100" tIns="18000" rIns="38100" bIns="18000" anchor="ctr" anchorCtr="1">
                <a:spAutoFit/>
              </a:bodyPr>
              <a:lstStyle/>
              <a:p>
                <a:pPr>
                  <a:defRPr sz="900" b="0" i="0" u="none" strike="noStrike" kern="1200" baseline="0">
                    <a:ln>
                      <a:noFill/>
                    </a:ln>
                    <a:solidFill>
                      <a:schemeClr val="accent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PvotData!$D$3:$D$7</c:f>
              <c:strCache>
                <c:ptCount val="4"/>
                <c:pt idx="0">
                  <c:v>Accessories</c:v>
                </c:pt>
                <c:pt idx="1">
                  <c:v>Clothing</c:v>
                </c:pt>
                <c:pt idx="2">
                  <c:v>Electronics</c:v>
                </c:pt>
                <c:pt idx="3">
                  <c:v>Home Appliances</c:v>
                </c:pt>
              </c:strCache>
            </c:strRef>
          </c:cat>
          <c:val>
            <c:numRef>
              <c:f>PvotData!$E$3:$E$7</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9328-4631-9B6F-C356ACA7879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[06Sales_Data_Dashboard.xlsx]PvotData!PtProductOTSales</c:name>
    <c:fmtId val="12"/>
  </c:pivotSource>
  <c:chart>
    <c:title>
      <c:tx>
        <c:rich>
          <a:bodyPr rot="0" spcFirstLastPara="1" vertOverflow="ellipsis" vert="horz" wrap="square" anchor="ctr" anchorCtr="1"/>
          <a:lstStyle/>
          <a:p>
            <a:pPr>
              <a:defRPr sz="1800" b="1" i="0" u="none" strike="noStrike" kern="1200" cap="none" spc="0" normalizeH="0" baseline="0">
                <a:solidFill>
                  <a:schemeClr val="tx1">
                    <a:lumMod val="65000"/>
                    <a:lumOff val="35000"/>
                  </a:schemeClr>
                </a:solidFill>
                <a:latin typeface="+mj-lt"/>
                <a:ea typeface="+mj-ea"/>
                <a:cs typeface="+mj-cs"/>
              </a:defRPr>
            </a:pPr>
            <a:r>
              <a:rPr lang="en-US" sz="1800" b="1"/>
              <a:t>Total Sales Over Time</a:t>
            </a:r>
          </a:p>
        </c:rich>
      </c:tx>
      <c:overlay val="0"/>
      <c:spPr>
        <a:noFill/>
        <a:ln>
          <a:noFill/>
        </a:ln>
        <a:effectLst/>
      </c:spPr>
      <c:txPr>
        <a:bodyPr rot="0" spcFirstLastPara="1" vertOverflow="ellipsis" vert="horz" wrap="square" anchor="ctr" anchorCtr="1"/>
        <a:lstStyle/>
        <a:p>
          <a:pPr>
            <a:defRPr sz="18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6436348566477"/>
          <c:y val="0.24399999999999999"/>
          <c:w val="0.77887412877218098"/>
          <c:h val="0.65050279584617143"/>
        </c:manualLayout>
      </c:layout>
      <c:lineChart>
        <c:grouping val="standard"/>
        <c:varyColors val="0"/>
        <c:ser>
          <c:idx val="0"/>
          <c:order val="0"/>
          <c:tx>
            <c:strRef>
              <c:f>PvotData!$E$9</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PvotData!$D$10:$D$20</c:f>
              <c:strCache>
                <c:ptCount val="10"/>
                <c:pt idx="0">
                  <c:v>Jan</c:v>
                </c:pt>
                <c:pt idx="1">
                  <c:v>Feb</c:v>
                </c:pt>
                <c:pt idx="2">
                  <c:v>Mar</c:v>
                </c:pt>
                <c:pt idx="3">
                  <c:v>Apr</c:v>
                </c:pt>
                <c:pt idx="4">
                  <c:v>May</c:v>
                </c:pt>
                <c:pt idx="5">
                  <c:v>Jun</c:v>
                </c:pt>
                <c:pt idx="6">
                  <c:v>Jul</c:v>
                </c:pt>
                <c:pt idx="7">
                  <c:v>Aug</c:v>
                </c:pt>
                <c:pt idx="8">
                  <c:v>Sep</c:v>
                </c:pt>
                <c:pt idx="9">
                  <c:v>Oct</c:v>
                </c:pt>
              </c:strCache>
            </c:strRef>
          </c:cat>
          <c:val>
            <c:numRef>
              <c:f>PvotData!$E$10:$E$20</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E5D1-4E24-8B8B-5D2E7D30C0F4}"/>
            </c:ext>
          </c:extLst>
        </c:ser>
        <c:dLbls>
          <c:showLegendKey val="0"/>
          <c:showVal val="0"/>
          <c:showCatName val="0"/>
          <c:showSerName val="0"/>
          <c:showPercent val="0"/>
          <c:showBubbleSize val="0"/>
        </c:dLbls>
        <c:marker val="1"/>
        <c:smooth val="0"/>
        <c:axId val="1199188992"/>
        <c:axId val="1199192352"/>
      </c:lineChart>
      <c:catAx>
        <c:axId val="119918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99192352"/>
        <c:crosses val="autoZero"/>
        <c:auto val="1"/>
        <c:lblAlgn val="ctr"/>
        <c:lblOffset val="100"/>
        <c:noMultiLvlLbl val="0"/>
      </c:catAx>
      <c:valAx>
        <c:axId val="119919235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18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[06Sales_Data_Dashboard.xlsx]PvotData!PtProductSales</c:name>
    <c:fmtId val="10"/>
  </c:pivotSource>
  <c:chart>
    <c:title>
      <c:tx>
        <c:rich>
          <a:bodyPr rot="0" spcFirstLastPara="1" vertOverflow="ellipsis" vert="horz" wrap="square" anchor="ctr" anchorCtr="1"/>
          <a:lstStyle/>
          <a:p>
            <a:pPr>
              <a:defRPr sz="1600" b="1" i="0" u="none" strike="noStrike" kern="1200" spc="0" baseline="0">
                <a:solidFill>
                  <a:schemeClr val="accent6">
                    <a:lumMod val="50000"/>
                  </a:schemeClr>
                </a:solidFill>
                <a:latin typeface="+mn-lt"/>
                <a:ea typeface="+mn-ea"/>
                <a:cs typeface="+mn-cs"/>
              </a:defRPr>
            </a:pPr>
            <a:r>
              <a:rPr lang="en-US" sz="1600" b="1">
                <a:solidFill>
                  <a:schemeClr val="accent6">
                    <a:lumMod val="50000"/>
                  </a:schemeClr>
                </a:solidFill>
              </a:rPr>
              <a:t>TOTAL</a:t>
            </a:r>
            <a:r>
              <a:rPr lang="en-US" sz="1600" b="1" baseline="0">
                <a:solidFill>
                  <a:schemeClr val="accent6">
                    <a:lumMod val="50000"/>
                  </a:schemeClr>
                </a:solidFill>
              </a:rPr>
              <a:t> SALES vs PRODUCTS</a:t>
            </a:r>
            <a:endParaRPr lang="en-US" sz="16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PvotData!$H$2</c:f>
              <c:strCache>
                <c:ptCount val="1"/>
                <c:pt idx="0">
                  <c:v>Total</c:v>
                </c:pt>
              </c:strCache>
            </c:strRef>
          </c:tx>
          <c:spPr>
            <a:solidFill>
              <a:schemeClr val="accent1"/>
            </a:solidFill>
            <a:ln>
              <a:noFill/>
            </a:ln>
            <a:effectLst/>
            <a:sp3d/>
          </c:spPr>
          <c:invertIfNegative val="0"/>
          <c:cat>
            <c:strRef>
              <c:f>PvotData!$G$3:$G$11</c:f>
              <c:strCache>
                <c:ptCount val="8"/>
                <c:pt idx="0">
                  <c:v>Camera</c:v>
                </c:pt>
                <c:pt idx="1">
                  <c:v>Fridge</c:v>
                </c:pt>
                <c:pt idx="2">
                  <c:v>Headphones</c:v>
                </c:pt>
                <c:pt idx="3">
                  <c:v>Jeans</c:v>
                </c:pt>
                <c:pt idx="4">
                  <c:v>Laptop</c:v>
                </c:pt>
                <c:pt idx="5">
                  <c:v>Microwave</c:v>
                </c:pt>
                <c:pt idx="6">
                  <c:v>Mobile</c:v>
                </c:pt>
                <c:pt idx="7">
                  <c:v>Shirt</c:v>
                </c:pt>
              </c:strCache>
            </c:strRef>
          </c:cat>
          <c:val>
            <c:numRef>
              <c:f>PvotData!$H$3:$H$11</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96C4-4D5A-9DA3-DFB15A83D5C1}"/>
            </c:ext>
          </c:extLst>
        </c:ser>
        <c:dLbls>
          <c:showLegendKey val="0"/>
          <c:showVal val="0"/>
          <c:showCatName val="0"/>
          <c:showSerName val="0"/>
          <c:showPercent val="0"/>
          <c:showBubbleSize val="0"/>
        </c:dLbls>
        <c:gapWidth val="150"/>
        <c:shape val="box"/>
        <c:axId val="1199167872"/>
        <c:axId val="1199170272"/>
        <c:axId val="0"/>
      </c:bar3DChart>
      <c:catAx>
        <c:axId val="1199167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170272"/>
        <c:crosses val="autoZero"/>
        <c:auto val="1"/>
        <c:lblAlgn val="ctr"/>
        <c:lblOffset val="100"/>
        <c:noMultiLvlLbl val="0"/>
      </c:catAx>
      <c:valAx>
        <c:axId val="1199170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16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jpe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3.png"/><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218966</xdr:colOff>
      <xdr:row>0</xdr:row>
      <xdr:rowOff>55725</xdr:rowOff>
    </xdr:from>
    <xdr:to>
      <xdr:col>23</xdr:col>
      <xdr:colOff>248088</xdr:colOff>
      <xdr:row>24</xdr:row>
      <xdr:rowOff>175171</xdr:rowOff>
    </xdr:to>
    <xdr:sp macro="" textlink="">
      <xdr:nvSpPr>
        <xdr:cNvPr id="2" name="Rectangle 1">
          <a:extLst>
            <a:ext uri="{FF2B5EF4-FFF2-40B4-BE49-F238E27FC236}">
              <a16:creationId xmlns:a16="http://schemas.microsoft.com/office/drawing/2014/main" id="{F32A5431-25C9-6010-533E-34A8854177C2}"/>
            </a:ext>
          </a:extLst>
        </xdr:cNvPr>
        <xdr:cNvSpPr/>
      </xdr:nvSpPr>
      <xdr:spPr>
        <a:xfrm>
          <a:off x="218966" y="55725"/>
          <a:ext cx="14130501" cy="4586343"/>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355381</xdr:colOff>
      <xdr:row>1</xdr:row>
      <xdr:rowOff>16203</xdr:rowOff>
    </xdr:from>
    <xdr:to>
      <xdr:col>11</xdr:col>
      <xdr:colOff>31531</xdr:colOff>
      <xdr:row>3</xdr:row>
      <xdr:rowOff>140028</xdr:rowOff>
    </xdr:to>
    <xdr:sp macro="" textlink="">
      <xdr:nvSpPr>
        <xdr:cNvPr id="4" name="TextBox 3">
          <a:extLst>
            <a:ext uri="{FF2B5EF4-FFF2-40B4-BE49-F238E27FC236}">
              <a16:creationId xmlns:a16="http://schemas.microsoft.com/office/drawing/2014/main" id="{E26E40D0-A7F3-9070-ABED-0CD79B608DAE}"/>
            </a:ext>
          </a:extLst>
        </xdr:cNvPr>
        <xdr:cNvSpPr txBox="1"/>
      </xdr:nvSpPr>
      <xdr:spPr>
        <a:xfrm>
          <a:off x="2807795" y="202324"/>
          <a:ext cx="3967874" cy="49606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chemeClr val="bg1"/>
              </a:solidFill>
            </a:rPr>
            <a:t>Sales Dashboard 2026</a:t>
          </a:r>
        </a:p>
      </xdr:txBody>
    </xdr:sp>
    <xdr:clientData/>
  </xdr:twoCellAnchor>
  <xdr:twoCellAnchor>
    <xdr:from>
      <xdr:col>0</xdr:col>
      <xdr:colOff>381875</xdr:colOff>
      <xdr:row>7</xdr:row>
      <xdr:rowOff>174297</xdr:rowOff>
    </xdr:from>
    <xdr:to>
      <xdr:col>3</xdr:col>
      <xdr:colOff>102147</xdr:colOff>
      <xdr:row>12</xdr:row>
      <xdr:rowOff>174297</xdr:rowOff>
    </xdr:to>
    <xdr:sp macro="" textlink="">
      <xdr:nvSpPr>
        <xdr:cNvPr id="5" name="Rectangle 4">
          <a:extLst>
            <a:ext uri="{FF2B5EF4-FFF2-40B4-BE49-F238E27FC236}">
              <a16:creationId xmlns:a16="http://schemas.microsoft.com/office/drawing/2014/main" id="{E074176D-8E57-ABF1-7F38-C943B5CA60D5}"/>
            </a:ext>
          </a:extLst>
        </xdr:cNvPr>
        <xdr:cNvSpPr/>
      </xdr:nvSpPr>
      <xdr:spPr>
        <a:xfrm>
          <a:off x="381875" y="1477142"/>
          <a:ext cx="1559582" cy="93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364687</xdr:colOff>
      <xdr:row>13</xdr:row>
      <xdr:rowOff>110031</xdr:rowOff>
    </xdr:from>
    <xdr:to>
      <xdr:col>3</xdr:col>
      <xdr:colOff>84959</xdr:colOff>
      <xdr:row>18</xdr:row>
      <xdr:rowOff>110031</xdr:rowOff>
    </xdr:to>
    <xdr:sp macro="" textlink="">
      <xdr:nvSpPr>
        <xdr:cNvPr id="6" name="Rectangle 5">
          <a:extLst>
            <a:ext uri="{FF2B5EF4-FFF2-40B4-BE49-F238E27FC236}">
              <a16:creationId xmlns:a16="http://schemas.microsoft.com/office/drawing/2014/main" id="{640264A0-C5CE-4AF5-BC79-1C68756452AB}"/>
            </a:ext>
          </a:extLst>
        </xdr:cNvPr>
        <xdr:cNvSpPr/>
      </xdr:nvSpPr>
      <xdr:spPr>
        <a:xfrm>
          <a:off x="364687" y="2529600"/>
          <a:ext cx="1559582" cy="93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351331</xdr:colOff>
      <xdr:row>19</xdr:row>
      <xdr:rowOff>34816</xdr:rowOff>
    </xdr:from>
    <xdr:to>
      <xdr:col>3</xdr:col>
      <xdr:colOff>71603</xdr:colOff>
      <xdr:row>24</xdr:row>
      <xdr:rowOff>34815</xdr:rowOff>
    </xdr:to>
    <xdr:sp macro="" textlink="">
      <xdr:nvSpPr>
        <xdr:cNvPr id="7" name="Rectangle 6">
          <a:extLst>
            <a:ext uri="{FF2B5EF4-FFF2-40B4-BE49-F238E27FC236}">
              <a16:creationId xmlns:a16="http://schemas.microsoft.com/office/drawing/2014/main" id="{0055E6C9-9168-4818-BA77-4DC545E7D365}"/>
            </a:ext>
          </a:extLst>
        </xdr:cNvPr>
        <xdr:cNvSpPr/>
      </xdr:nvSpPr>
      <xdr:spPr>
        <a:xfrm>
          <a:off x="351331" y="3571109"/>
          <a:ext cx="1559582" cy="9306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350454</xdr:colOff>
      <xdr:row>14</xdr:row>
      <xdr:rowOff>65689</xdr:rowOff>
    </xdr:from>
    <xdr:to>
      <xdr:col>11</xdr:col>
      <xdr:colOff>521904</xdr:colOff>
      <xdr:row>24</xdr:row>
      <xdr:rowOff>99518</xdr:rowOff>
    </xdr:to>
    <xdr:sp macro="" textlink="">
      <xdr:nvSpPr>
        <xdr:cNvPr id="8" name="Rectangle 7">
          <a:extLst>
            <a:ext uri="{FF2B5EF4-FFF2-40B4-BE49-F238E27FC236}">
              <a16:creationId xmlns:a16="http://schemas.microsoft.com/office/drawing/2014/main" id="{13F08619-4E50-45EA-988C-30316E022C1A}"/>
            </a:ext>
          </a:extLst>
        </xdr:cNvPr>
        <xdr:cNvSpPr/>
      </xdr:nvSpPr>
      <xdr:spPr>
        <a:xfrm>
          <a:off x="2189764" y="2671379"/>
          <a:ext cx="5076278" cy="18950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591207</xdr:colOff>
      <xdr:row>0</xdr:row>
      <xdr:rowOff>133348</xdr:rowOff>
    </xdr:from>
    <xdr:to>
      <xdr:col>17</xdr:col>
      <xdr:colOff>525517</xdr:colOff>
      <xdr:row>24</xdr:row>
      <xdr:rowOff>98534</xdr:rowOff>
    </xdr:to>
    <xdr:sp macro="" textlink="">
      <xdr:nvSpPr>
        <xdr:cNvPr id="9" name="Rectangle 8">
          <a:extLst>
            <a:ext uri="{FF2B5EF4-FFF2-40B4-BE49-F238E27FC236}">
              <a16:creationId xmlns:a16="http://schemas.microsoft.com/office/drawing/2014/main" id="{C71A9FED-86C4-4226-A5AC-E9CEAD80B1BB}"/>
            </a:ext>
          </a:extLst>
        </xdr:cNvPr>
        <xdr:cNvSpPr/>
      </xdr:nvSpPr>
      <xdr:spPr>
        <a:xfrm>
          <a:off x="7335345" y="133348"/>
          <a:ext cx="3612931" cy="44320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547413</xdr:colOff>
      <xdr:row>11</xdr:row>
      <xdr:rowOff>175172</xdr:rowOff>
    </xdr:from>
    <xdr:to>
      <xdr:col>23</xdr:col>
      <xdr:colOff>209989</xdr:colOff>
      <xdr:row>24</xdr:row>
      <xdr:rowOff>76637</xdr:rowOff>
    </xdr:to>
    <xdr:sp macro="" textlink="">
      <xdr:nvSpPr>
        <xdr:cNvPr id="10" name="Rectangle 9">
          <a:extLst>
            <a:ext uri="{FF2B5EF4-FFF2-40B4-BE49-F238E27FC236}">
              <a16:creationId xmlns:a16="http://schemas.microsoft.com/office/drawing/2014/main" id="{81055C6A-99CB-42EF-8F29-E199427F759C}"/>
            </a:ext>
          </a:extLst>
        </xdr:cNvPr>
        <xdr:cNvSpPr/>
      </xdr:nvSpPr>
      <xdr:spPr>
        <a:xfrm>
          <a:off x="10970172" y="2222500"/>
          <a:ext cx="3341196" cy="23210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563835</xdr:colOff>
      <xdr:row>0</xdr:row>
      <xdr:rowOff>123825</xdr:rowOff>
    </xdr:from>
    <xdr:to>
      <xdr:col>23</xdr:col>
      <xdr:colOff>211411</xdr:colOff>
      <xdr:row>11</xdr:row>
      <xdr:rowOff>109482</xdr:rowOff>
    </xdr:to>
    <xdr:sp macro="" textlink="">
      <xdr:nvSpPr>
        <xdr:cNvPr id="11" name="Rectangle 10">
          <a:extLst>
            <a:ext uri="{FF2B5EF4-FFF2-40B4-BE49-F238E27FC236}">
              <a16:creationId xmlns:a16="http://schemas.microsoft.com/office/drawing/2014/main" id="{ACE9F6FA-0083-4491-AE0D-A1768B435DF6}"/>
            </a:ext>
          </a:extLst>
        </xdr:cNvPr>
        <xdr:cNvSpPr/>
      </xdr:nvSpPr>
      <xdr:spPr>
        <a:xfrm>
          <a:off x="10986594" y="123825"/>
          <a:ext cx="3326196" cy="20329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18829</xdr:colOff>
      <xdr:row>0</xdr:row>
      <xdr:rowOff>149553</xdr:rowOff>
    </xdr:from>
    <xdr:to>
      <xdr:col>23</xdr:col>
      <xdr:colOff>146158</xdr:colOff>
      <xdr:row>11</xdr:row>
      <xdr:rowOff>65688</xdr:rowOff>
    </xdr:to>
    <xdr:graphicFrame macro="">
      <xdr:nvGraphicFramePr>
        <xdr:cNvPr id="12" name="Chart 11">
          <a:extLst>
            <a:ext uri="{FF2B5EF4-FFF2-40B4-BE49-F238E27FC236}">
              <a16:creationId xmlns:a16="http://schemas.microsoft.com/office/drawing/2014/main" id="{DE02B1B4-12DA-4276-93BD-1AB0C1626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6459</xdr:colOff>
      <xdr:row>12</xdr:row>
      <xdr:rowOff>21896</xdr:rowOff>
    </xdr:from>
    <xdr:to>
      <xdr:col>23</xdr:col>
      <xdr:colOff>124263</xdr:colOff>
      <xdr:row>23</xdr:row>
      <xdr:rowOff>186119</xdr:rowOff>
    </xdr:to>
    <xdr:graphicFrame macro="">
      <xdr:nvGraphicFramePr>
        <xdr:cNvPr id="13" name="Chart 12">
          <a:extLst>
            <a:ext uri="{FF2B5EF4-FFF2-40B4-BE49-F238E27FC236}">
              <a16:creationId xmlns:a16="http://schemas.microsoft.com/office/drawing/2014/main" id="{DE080D21-5ECF-43D8-9070-6647F9284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76637</xdr:colOff>
      <xdr:row>1</xdr:row>
      <xdr:rowOff>4377</xdr:rowOff>
    </xdr:from>
    <xdr:to>
      <xdr:col>17</xdr:col>
      <xdr:colOff>470774</xdr:colOff>
      <xdr:row>24</xdr:row>
      <xdr:rowOff>21896</xdr:rowOff>
    </xdr:to>
    <xdr:graphicFrame macro="">
      <xdr:nvGraphicFramePr>
        <xdr:cNvPr id="14" name="Chart 13">
          <a:extLst>
            <a:ext uri="{FF2B5EF4-FFF2-40B4-BE49-F238E27FC236}">
              <a16:creationId xmlns:a16="http://schemas.microsoft.com/office/drawing/2014/main" id="{0A4D0814-90BB-46FB-AD11-C01C0D0CF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405087</xdr:colOff>
      <xdr:row>14</xdr:row>
      <xdr:rowOff>107621</xdr:rowOff>
    </xdr:from>
    <xdr:to>
      <xdr:col>11</xdr:col>
      <xdr:colOff>472855</xdr:colOff>
      <xdr:row>24</xdr:row>
      <xdr:rowOff>45707</xdr:rowOff>
    </xdr:to>
    <xdr:graphicFrame macro="">
      <xdr:nvGraphicFramePr>
        <xdr:cNvPr id="15" name="Chart 14">
          <a:extLst>
            <a:ext uri="{FF2B5EF4-FFF2-40B4-BE49-F238E27FC236}">
              <a16:creationId xmlns:a16="http://schemas.microsoft.com/office/drawing/2014/main" id="{6DD6E3C9-976F-43F8-9522-CD985190C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440449</xdr:colOff>
      <xdr:row>8</xdr:row>
      <xdr:rowOff>86163</xdr:rowOff>
    </xdr:from>
    <xdr:to>
      <xdr:col>3</xdr:col>
      <xdr:colOff>27371</xdr:colOff>
      <xdr:row>10</xdr:row>
      <xdr:rowOff>42918</xdr:rowOff>
    </xdr:to>
    <xdr:sp macro="" textlink="">
      <xdr:nvSpPr>
        <xdr:cNvPr id="16" name="TextBox 15">
          <a:extLst>
            <a:ext uri="{FF2B5EF4-FFF2-40B4-BE49-F238E27FC236}">
              <a16:creationId xmlns:a16="http://schemas.microsoft.com/office/drawing/2014/main" id="{FDA13024-00BF-5597-B161-FD679BD371CF}"/>
            </a:ext>
          </a:extLst>
        </xdr:cNvPr>
        <xdr:cNvSpPr txBox="1"/>
      </xdr:nvSpPr>
      <xdr:spPr>
        <a:xfrm>
          <a:off x="440449" y="1575129"/>
          <a:ext cx="1426232" cy="32899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 Profit</a:t>
          </a:r>
        </a:p>
      </xdr:txBody>
    </xdr:sp>
    <xdr:clientData/>
  </xdr:twoCellAnchor>
  <xdr:twoCellAnchor>
    <xdr:from>
      <xdr:col>0</xdr:col>
      <xdr:colOff>449974</xdr:colOff>
      <xdr:row>10</xdr:row>
      <xdr:rowOff>158094</xdr:rowOff>
    </xdr:from>
    <xdr:to>
      <xdr:col>3</xdr:col>
      <xdr:colOff>36896</xdr:colOff>
      <xdr:row>12</xdr:row>
      <xdr:rowOff>110469</xdr:rowOff>
    </xdr:to>
    <xdr:sp macro="" textlink="'Pivot Table'!L5">
      <xdr:nvSpPr>
        <xdr:cNvPr id="17" name="TextBox 16">
          <a:extLst>
            <a:ext uri="{FF2B5EF4-FFF2-40B4-BE49-F238E27FC236}">
              <a16:creationId xmlns:a16="http://schemas.microsoft.com/office/drawing/2014/main" id="{E6430D34-EEAF-4DBB-A61D-5BD0B60A4B68}"/>
            </a:ext>
          </a:extLst>
        </xdr:cNvPr>
        <xdr:cNvSpPr txBox="1"/>
      </xdr:nvSpPr>
      <xdr:spPr>
        <a:xfrm>
          <a:off x="449974" y="2019301"/>
          <a:ext cx="1426232" cy="32461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BA8904-5FA7-4987-9C66-14D5EBCA9DB9}" type="TxLink">
            <a:rPr lang="en-US" sz="2000" b="0" i="0" u="none" strike="noStrike">
              <a:solidFill>
                <a:schemeClr val="bg1"/>
              </a:solidFill>
              <a:latin typeface="Calibri"/>
              <a:ea typeface="Calibri"/>
              <a:cs typeface="Calibri"/>
            </a:rPr>
            <a:pPr algn="ctr"/>
            <a:t>1532557</a:t>
          </a:fld>
          <a:endParaRPr lang="en-IN" sz="2000">
            <a:solidFill>
              <a:schemeClr val="bg1"/>
            </a:solidFill>
          </a:endParaRPr>
        </a:p>
      </xdr:txBody>
    </xdr:sp>
    <xdr:clientData/>
  </xdr:twoCellAnchor>
  <xdr:twoCellAnchor>
    <xdr:from>
      <xdr:col>0</xdr:col>
      <xdr:colOff>399940</xdr:colOff>
      <xdr:row>14</xdr:row>
      <xdr:rowOff>10947</xdr:rowOff>
    </xdr:from>
    <xdr:to>
      <xdr:col>2</xdr:col>
      <xdr:colOff>599965</xdr:colOff>
      <xdr:row>15</xdr:row>
      <xdr:rowOff>153823</xdr:rowOff>
    </xdr:to>
    <xdr:sp macro="" textlink="">
      <xdr:nvSpPr>
        <xdr:cNvPr id="18" name="TextBox 17">
          <a:extLst>
            <a:ext uri="{FF2B5EF4-FFF2-40B4-BE49-F238E27FC236}">
              <a16:creationId xmlns:a16="http://schemas.microsoft.com/office/drawing/2014/main" id="{52D99B30-B8E1-4B7C-86DD-1E646B465301}"/>
            </a:ext>
          </a:extLst>
        </xdr:cNvPr>
        <xdr:cNvSpPr txBox="1"/>
      </xdr:nvSpPr>
      <xdr:spPr>
        <a:xfrm>
          <a:off x="399940" y="2616637"/>
          <a:ext cx="1426232" cy="32899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 </a:t>
          </a:r>
          <a:r>
            <a:rPr lang="en-IN" sz="2000">
              <a:solidFill>
                <a:schemeClr val="bg1"/>
              </a:solidFill>
              <a:latin typeface="+mn-lt"/>
              <a:ea typeface="+mn-ea"/>
              <a:cs typeface="+mn-cs"/>
            </a:rPr>
            <a:t>Sales</a:t>
          </a:r>
        </a:p>
      </xdr:txBody>
    </xdr:sp>
    <xdr:clientData/>
  </xdr:twoCellAnchor>
  <xdr:twoCellAnchor>
    <xdr:from>
      <xdr:col>0</xdr:col>
      <xdr:colOff>408042</xdr:colOff>
      <xdr:row>16</xdr:row>
      <xdr:rowOff>74776</xdr:rowOff>
    </xdr:from>
    <xdr:to>
      <xdr:col>2</xdr:col>
      <xdr:colOff>608067</xdr:colOff>
      <xdr:row>18</xdr:row>
      <xdr:rowOff>27151</xdr:rowOff>
    </xdr:to>
    <xdr:sp macro="" textlink="'Pivot Table'!L6">
      <xdr:nvSpPr>
        <xdr:cNvPr id="19" name="TextBox 18">
          <a:extLst>
            <a:ext uri="{FF2B5EF4-FFF2-40B4-BE49-F238E27FC236}">
              <a16:creationId xmlns:a16="http://schemas.microsoft.com/office/drawing/2014/main" id="{1862EB94-C98C-432D-BA32-CABF51A3008C}"/>
            </a:ext>
          </a:extLst>
        </xdr:cNvPr>
        <xdr:cNvSpPr txBox="1"/>
      </xdr:nvSpPr>
      <xdr:spPr>
        <a:xfrm>
          <a:off x="408042" y="3052707"/>
          <a:ext cx="1426232" cy="32461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A98C9B-19F6-4FA9-ACD9-E7648C4DEF2D}" type="TxLink">
            <a:rPr lang="en-US" sz="2000" b="0" i="0" u="none" strike="noStrike">
              <a:solidFill>
                <a:schemeClr val="bg1"/>
              </a:solidFill>
              <a:latin typeface="Calibri"/>
              <a:ea typeface="Calibri"/>
              <a:cs typeface="Calibri"/>
            </a:rPr>
            <a:pPr marL="0" indent="0" algn="ctr"/>
            <a:t>37227091</a:t>
          </a:fld>
          <a:endParaRPr lang="en-IN" sz="2000" b="0" i="0" u="none" strike="noStrike">
            <a:solidFill>
              <a:schemeClr val="bg1"/>
            </a:solidFill>
            <a:latin typeface="Calibri"/>
            <a:ea typeface="Calibri"/>
            <a:cs typeface="Calibri"/>
          </a:endParaRPr>
        </a:p>
      </xdr:txBody>
    </xdr:sp>
    <xdr:clientData/>
  </xdr:twoCellAnchor>
  <xdr:twoCellAnchor>
    <xdr:from>
      <xdr:col>0</xdr:col>
      <xdr:colOff>394686</xdr:colOff>
      <xdr:row>19</xdr:row>
      <xdr:rowOff>120430</xdr:rowOff>
    </xdr:from>
    <xdr:to>
      <xdr:col>2</xdr:col>
      <xdr:colOff>594711</xdr:colOff>
      <xdr:row>21</xdr:row>
      <xdr:rowOff>77185</xdr:rowOff>
    </xdr:to>
    <xdr:sp macro="" textlink="">
      <xdr:nvSpPr>
        <xdr:cNvPr id="20" name="TextBox 19">
          <a:extLst>
            <a:ext uri="{FF2B5EF4-FFF2-40B4-BE49-F238E27FC236}">
              <a16:creationId xmlns:a16="http://schemas.microsoft.com/office/drawing/2014/main" id="{7AD927FA-0F0C-463A-883F-88BCFE64A889}"/>
            </a:ext>
          </a:extLst>
        </xdr:cNvPr>
        <xdr:cNvSpPr txBox="1"/>
      </xdr:nvSpPr>
      <xdr:spPr>
        <a:xfrm>
          <a:off x="394686" y="3656723"/>
          <a:ext cx="1426232" cy="32899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 QTY</a:t>
          </a:r>
        </a:p>
      </xdr:txBody>
    </xdr:sp>
    <xdr:clientData/>
  </xdr:twoCellAnchor>
  <xdr:twoCellAnchor>
    <xdr:from>
      <xdr:col>0</xdr:col>
      <xdr:colOff>394686</xdr:colOff>
      <xdr:row>22</xdr:row>
      <xdr:rowOff>18612</xdr:rowOff>
    </xdr:from>
    <xdr:to>
      <xdr:col>2</xdr:col>
      <xdr:colOff>594711</xdr:colOff>
      <xdr:row>23</xdr:row>
      <xdr:rowOff>157107</xdr:rowOff>
    </xdr:to>
    <xdr:sp macro="" textlink="'Pivot Table'!L7">
      <xdr:nvSpPr>
        <xdr:cNvPr id="21" name="TextBox 20">
          <a:extLst>
            <a:ext uri="{FF2B5EF4-FFF2-40B4-BE49-F238E27FC236}">
              <a16:creationId xmlns:a16="http://schemas.microsoft.com/office/drawing/2014/main" id="{5C83E28D-E877-45DC-AC4E-53237D33C136}"/>
            </a:ext>
          </a:extLst>
        </xdr:cNvPr>
        <xdr:cNvSpPr txBox="1"/>
      </xdr:nvSpPr>
      <xdr:spPr>
        <a:xfrm>
          <a:off x="394686" y="4113267"/>
          <a:ext cx="1426232" cy="32461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70B9BDD-C842-4A9A-9F7F-833D5EDF97A1}" type="TxLink">
            <a:rPr lang="en-US" sz="2000" b="0" i="0" u="none" strike="noStrike">
              <a:solidFill>
                <a:schemeClr val="bg1"/>
              </a:solidFill>
              <a:latin typeface="Calibri"/>
              <a:ea typeface="Calibri"/>
              <a:cs typeface="Calibri"/>
            </a:rPr>
            <a:pPr marL="0" indent="0" algn="ctr"/>
            <a:t>1479</a:t>
          </a:fld>
          <a:endParaRPr lang="en-IN" sz="2000" b="0" i="0" u="none" strike="noStrike">
            <a:solidFill>
              <a:schemeClr val="bg1"/>
            </a:solidFill>
            <a:latin typeface="Calibri"/>
            <a:ea typeface="Calibri"/>
            <a:cs typeface="Calibri"/>
          </a:endParaRPr>
        </a:p>
      </xdr:txBody>
    </xdr:sp>
    <xdr:clientData/>
  </xdr:twoCellAnchor>
  <xdr:twoCellAnchor>
    <xdr:from>
      <xdr:col>3</xdr:col>
      <xdr:colOff>295604</xdr:colOff>
      <xdr:row>4</xdr:row>
      <xdr:rowOff>109483</xdr:rowOff>
    </xdr:from>
    <xdr:to>
      <xdr:col>7</xdr:col>
      <xdr:colOff>251810</xdr:colOff>
      <xdr:row>14</xdr:row>
      <xdr:rowOff>21896</xdr:rowOff>
    </xdr:to>
    <xdr:sp macro="" textlink="">
      <xdr:nvSpPr>
        <xdr:cNvPr id="22" name="Rectangle 21">
          <a:extLst>
            <a:ext uri="{FF2B5EF4-FFF2-40B4-BE49-F238E27FC236}">
              <a16:creationId xmlns:a16="http://schemas.microsoft.com/office/drawing/2014/main" id="{CBF238F7-9BD9-5E2B-BB56-E1464C5375B4}"/>
            </a:ext>
          </a:extLst>
        </xdr:cNvPr>
        <xdr:cNvSpPr/>
      </xdr:nvSpPr>
      <xdr:spPr>
        <a:xfrm>
          <a:off x="2134914" y="853966"/>
          <a:ext cx="2408620" cy="17736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524642</xdr:colOff>
      <xdr:row>4</xdr:row>
      <xdr:rowOff>98534</xdr:rowOff>
    </xdr:from>
    <xdr:to>
      <xdr:col>11</xdr:col>
      <xdr:colOff>480848</xdr:colOff>
      <xdr:row>14</xdr:row>
      <xdr:rowOff>21021</xdr:rowOff>
    </xdr:to>
    <xdr:sp macro="" textlink="">
      <xdr:nvSpPr>
        <xdr:cNvPr id="23" name="Rectangle 22">
          <a:extLst>
            <a:ext uri="{FF2B5EF4-FFF2-40B4-BE49-F238E27FC236}">
              <a16:creationId xmlns:a16="http://schemas.microsoft.com/office/drawing/2014/main" id="{71BC11C9-FC55-4ACF-B3A2-433B3C4FD5EC}"/>
            </a:ext>
          </a:extLst>
        </xdr:cNvPr>
        <xdr:cNvSpPr/>
      </xdr:nvSpPr>
      <xdr:spPr>
        <a:xfrm>
          <a:off x="4816366" y="843017"/>
          <a:ext cx="2408620" cy="178369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405087</xdr:colOff>
      <xdr:row>5</xdr:row>
      <xdr:rowOff>32845</xdr:rowOff>
    </xdr:from>
    <xdr:to>
      <xdr:col>7</xdr:col>
      <xdr:colOff>131379</xdr:colOff>
      <xdr:row>13</xdr:row>
      <xdr:rowOff>131378</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FED5526B-E2AE-4521-A427-1057D058BB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44397" y="963448"/>
              <a:ext cx="2178706" cy="1587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21896</xdr:colOff>
      <xdr:row>5</xdr:row>
      <xdr:rowOff>10075</xdr:rowOff>
    </xdr:from>
    <xdr:to>
      <xdr:col>11</xdr:col>
      <xdr:colOff>405086</xdr:colOff>
      <xdr:row>13</xdr:row>
      <xdr:rowOff>87587</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C272B4CD-1E5B-4E25-ABBD-147F7D64BE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26724" y="940678"/>
              <a:ext cx="2222500" cy="1566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493155</xdr:colOff>
      <xdr:row>1</xdr:row>
      <xdr:rowOff>21896</xdr:rowOff>
    </xdr:from>
    <xdr:to>
      <xdr:col>2</xdr:col>
      <xdr:colOff>581889</xdr:colOff>
      <xdr:row>7</xdr:row>
      <xdr:rowOff>71155</xdr:rowOff>
    </xdr:to>
    <xdr:pic>
      <xdr:nvPicPr>
        <xdr:cNvPr id="27" name="Picture 26">
          <a:extLst>
            <a:ext uri="{FF2B5EF4-FFF2-40B4-BE49-F238E27FC236}">
              <a16:creationId xmlns:a16="http://schemas.microsoft.com/office/drawing/2014/main" id="{FD301B58-5E77-EBCD-C976-06381151135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93155" y="208017"/>
          <a:ext cx="1314941" cy="11659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110435</xdr:colOff>
      <xdr:row>32</xdr:row>
      <xdr:rowOff>96630</xdr:rowOff>
    </xdr:to>
    <xdr:sp macro="" textlink="">
      <xdr:nvSpPr>
        <xdr:cNvPr id="2" name="Rectangle 1">
          <a:extLst>
            <a:ext uri="{FF2B5EF4-FFF2-40B4-BE49-F238E27FC236}">
              <a16:creationId xmlns:a16="http://schemas.microsoft.com/office/drawing/2014/main" id="{ABE37CB6-66DD-06F1-D148-EC974EC80900}"/>
            </a:ext>
          </a:extLst>
        </xdr:cNvPr>
        <xdr:cNvSpPr/>
      </xdr:nvSpPr>
      <xdr:spPr>
        <a:xfrm>
          <a:off x="0" y="0"/>
          <a:ext cx="16510000" cy="583923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257969</xdr:colOff>
      <xdr:row>1</xdr:row>
      <xdr:rowOff>9921</xdr:rowOff>
    </xdr:from>
    <xdr:to>
      <xdr:col>18</xdr:col>
      <xdr:colOff>367109</xdr:colOff>
      <xdr:row>3</xdr:row>
      <xdr:rowOff>59531</xdr:rowOff>
    </xdr:to>
    <xdr:sp macro="" textlink="">
      <xdr:nvSpPr>
        <xdr:cNvPr id="3" name="Rectangle: Diagonal Corners Rounded 2">
          <a:extLst>
            <a:ext uri="{FF2B5EF4-FFF2-40B4-BE49-F238E27FC236}">
              <a16:creationId xmlns:a16="http://schemas.microsoft.com/office/drawing/2014/main" id="{2CEBFFA0-D940-C723-C484-3B59F5FEC7D2}"/>
            </a:ext>
          </a:extLst>
        </xdr:cNvPr>
        <xdr:cNvSpPr/>
      </xdr:nvSpPr>
      <xdr:spPr>
        <a:xfrm>
          <a:off x="3284141" y="198437"/>
          <a:ext cx="7977187" cy="426641"/>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230909</xdr:colOff>
      <xdr:row>0</xdr:row>
      <xdr:rowOff>34636</xdr:rowOff>
    </xdr:from>
    <xdr:to>
      <xdr:col>18</xdr:col>
      <xdr:colOff>358810</xdr:colOff>
      <xdr:row>2</xdr:row>
      <xdr:rowOff>168311</xdr:rowOff>
    </xdr:to>
    <xdr:sp macro="" textlink="">
      <xdr:nvSpPr>
        <xdr:cNvPr id="5" name="TextBox 4">
          <a:extLst>
            <a:ext uri="{FF2B5EF4-FFF2-40B4-BE49-F238E27FC236}">
              <a16:creationId xmlns:a16="http://schemas.microsoft.com/office/drawing/2014/main" id="{E3B93F41-658E-B383-55C2-02F35FFD57D5}"/>
            </a:ext>
          </a:extLst>
        </xdr:cNvPr>
        <xdr:cNvSpPr txBox="1"/>
      </xdr:nvSpPr>
      <xdr:spPr>
        <a:xfrm>
          <a:off x="3290454" y="34636"/>
          <a:ext cx="8082720" cy="503130"/>
        </a:xfrm>
        <a:prstGeom prst="rect">
          <a:avLst/>
        </a:prstGeom>
        <a:solidFill>
          <a:schemeClr val="accent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lumMod val="75000"/>
                </a:schemeClr>
              </a:solidFill>
            </a:rPr>
            <a:t>SALES DASHBOARD</a:t>
          </a:r>
        </a:p>
      </xdr:txBody>
    </xdr:sp>
    <xdr:clientData/>
  </xdr:twoCellAnchor>
  <xdr:twoCellAnchor>
    <xdr:from>
      <xdr:col>1</xdr:col>
      <xdr:colOff>188516</xdr:colOff>
      <xdr:row>0</xdr:row>
      <xdr:rowOff>79376</xdr:rowOff>
    </xdr:from>
    <xdr:to>
      <xdr:col>4</xdr:col>
      <xdr:colOff>39687</xdr:colOff>
      <xdr:row>6</xdr:row>
      <xdr:rowOff>178594</xdr:rowOff>
    </xdr:to>
    <xdr:sp macro="" textlink="">
      <xdr:nvSpPr>
        <xdr:cNvPr id="7" name="Flowchart: Connector 6">
          <a:extLst>
            <a:ext uri="{FF2B5EF4-FFF2-40B4-BE49-F238E27FC236}">
              <a16:creationId xmlns:a16="http://schemas.microsoft.com/office/drawing/2014/main" id="{A764FA37-4B48-EF38-5059-B82AA1C5B609}"/>
            </a:ext>
          </a:extLst>
        </xdr:cNvPr>
        <xdr:cNvSpPr/>
      </xdr:nvSpPr>
      <xdr:spPr>
        <a:xfrm>
          <a:off x="793750" y="79376"/>
          <a:ext cx="1666875" cy="1230312"/>
        </a:xfrm>
        <a:prstGeom prst="flowChartConnector">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14478</xdr:colOff>
      <xdr:row>0</xdr:row>
      <xdr:rowOff>0</xdr:rowOff>
    </xdr:from>
    <xdr:to>
      <xdr:col>4</xdr:col>
      <xdr:colOff>188516</xdr:colOff>
      <xdr:row>7</xdr:row>
      <xdr:rowOff>98405</xdr:rowOff>
    </xdr:to>
    <xdr:pic>
      <xdr:nvPicPr>
        <xdr:cNvPr id="11" name="Picture 10">
          <a:extLst>
            <a:ext uri="{FF2B5EF4-FFF2-40B4-BE49-F238E27FC236}">
              <a16:creationId xmlns:a16="http://schemas.microsoft.com/office/drawing/2014/main" id="{AEC1791F-FD8A-5DFC-34B1-C494144D61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9712" y="0"/>
          <a:ext cx="1989742" cy="1418014"/>
        </a:xfrm>
        <a:prstGeom prst="rect">
          <a:avLst/>
        </a:prstGeom>
      </xdr:spPr>
    </xdr:pic>
    <xdr:clientData/>
  </xdr:twoCellAnchor>
  <xdr:twoCellAnchor>
    <xdr:from>
      <xdr:col>0</xdr:col>
      <xdr:colOff>238125</xdr:colOff>
      <xdr:row>8</xdr:row>
      <xdr:rowOff>89297</xdr:rowOff>
    </xdr:from>
    <xdr:to>
      <xdr:col>5</xdr:col>
      <xdr:colOff>168672</xdr:colOff>
      <xdr:row>14</xdr:row>
      <xdr:rowOff>79375</xdr:rowOff>
    </xdr:to>
    <xdr:sp macro="" textlink="">
      <xdr:nvSpPr>
        <xdr:cNvPr id="12" name="Rectangle 11">
          <a:extLst>
            <a:ext uri="{FF2B5EF4-FFF2-40B4-BE49-F238E27FC236}">
              <a16:creationId xmlns:a16="http://schemas.microsoft.com/office/drawing/2014/main" id="{D8EF56DD-583B-3FEB-2E85-E5AE831BC8C8}"/>
            </a:ext>
          </a:extLst>
        </xdr:cNvPr>
        <xdr:cNvSpPr/>
      </xdr:nvSpPr>
      <xdr:spPr>
        <a:xfrm>
          <a:off x="238125" y="1597422"/>
          <a:ext cx="2956719" cy="11211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228203</xdr:colOff>
      <xdr:row>15</xdr:row>
      <xdr:rowOff>148829</xdr:rowOff>
    </xdr:from>
    <xdr:to>
      <xdr:col>5</xdr:col>
      <xdr:colOff>158750</xdr:colOff>
      <xdr:row>21</xdr:row>
      <xdr:rowOff>138907</xdr:rowOff>
    </xdr:to>
    <xdr:sp macro="" textlink="">
      <xdr:nvSpPr>
        <xdr:cNvPr id="13" name="Rectangle 12">
          <a:extLst>
            <a:ext uri="{FF2B5EF4-FFF2-40B4-BE49-F238E27FC236}">
              <a16:creationId xmlns:a16="http://schemas.microsoft.com/office/drawing/2014/main" id="{DB595CC1-9D66-41ED-857E-509DBA36D6EA}"/>
            </a:ext>
          </a:extLst>
        </xdr:cNvPr>
        <xdr:cNvSpPr/>
      </xdr:nvSpPr>
      <xdr:spPr>
        <a:xfrm>
          <a:off x="228203" y="2976563"/>
          <a:ext cx="2956719" cy="11211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202009</xdr:colOff>
      <xdr:row>23</xdr:row>
      <xdr:rowOff>3572</xdr:rowOff>
    </xdr:from>
    <xdr:to>
      <xdr:col>5</xdr:col>
      <xdr:colOff>132556</xdr:colOff>
      <xdr:row>28</xdr:row>
      <xdr:rowOff>182165</xdr:rowOff>
    </xdr:to>
    <xdr:sp macro="" textlink="">
      <xdr:nvSpPr>
        <xdr:cNvPr id="14" name="Rectangle 13">
          <a:extLst>
            <a:ext uri="{FF2B5EF4-FFF2-40B4-BE49-F238E27FC236}">
              <a16:creationId xmlns:a16="http://schemas.microsoft.com/office/drawing/2014/main" id="{551E3D6D-218A-4F35-ACBC-AABD8A44FBA1}"/>
            </a:ext>
          </a:extLst>
        </xdr:cNvPr>
        <xdr:cNvSpPr/>
      </xdr:nvSpPr>
      <xdr:spPr>
        <a:xfrm>
          <a:off x="202009" y="4339431"/>
          <a:ext cx="2956719" cy="11211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327422</xdr:colOff>
      <xdr:row>8</xdr:row>
      <xdr:rowOff>128984</xdr:rowOff>
    </xdr:from>
    <xdr:to>
      <xdr:col>5</xdr:col>
      <xdr:colOff>79375</xdr:colOff>
      <xdr:row>11</xdr:row>
      <xdr:rowOff>89297</xdr:rowOff>
    </xdr:to>
    <xdr:sp macro="" textlink="">
      <xdr:nvSpPr>
        <xdr:cNvPr id="208" name="TextBox 207">
          <a:extLst>
            <a:ext uri="{FF2B5EF4-FFF2-40B4-BE49-F238E27FC236}">
              <a16:creationId xmlns:a16="http://schemas.microsoft.com/office/drawing/2014/main" id="{09AE8D70-538A-7BE6-0F7A-B474E7A3A03C}"/>
            </a:ext>
          </a:extLst>
        </xdr:cNvPr>
        <xdr:cNvSpPr txBox="1"/>
      </xdr:nvSpPr>
      <xdr:spPr>
        <a:xfrm>
          <a:off x="327422" y="1637109"/>
          <a:ext cx="2778125" cy="52586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5">
                  <a:lumMod val="75000"/>
                </a:schemeClr>
              </a:solidFill>
              <a:latin typeface="Lucida Bright" panose="02040602050505020304" pitchFamily="18" charset="0"/>
            </a:rPr>
            <a:t>TOTAL</a:t>
          </a:r>
          <a:r>
            <a:rPr lang="en-IN" sz="1800" b="1" baseline="0">
              <a:solidFill>
                <a:schemeClr val="accent5">
                  <a:lumMod val="75000"/>
                </a:schemeClr>
              </a:solidFill>
              <a:latin typeface="Lucida Bright" panose="02040602050505020304" pitchFamily="18" charset="0"/>
            </a:rPr>
            <a:t> QUANTITY</a:t>
          </a:r>
          <a:endParaRPr lang="en-IN" sz="1800" b="1">
            <a:solidFill>
              <a:schemeClr val="accent5">
                <a:lumMod val="75000"/>
              </a:schemeClr>
            </a:solidFill>
            <a:latin typeface="Lucida Bright" panose="02040602050505020304" pitchFamily="18" charset="0"/>
          </a:endParaRPr>
        </a:p>
      </xdr:txBody>
    </xdr:sp>
    <xdr:clientData/>
  </xdr:twoCellAnchor>
  <xdr:twoCellAnchor>
    <xdr:from>
      <xdr:col>0</xdr:col>
      <xdr:colOff>317500</xdr:colOff>
      <xdr:row>11</xdr:row>
      <xdr:rowOff>168672</xdr:rowOff>
    </xdr:from>
    <xdr:to>
      <xdr:col>5</xdr:col>
      <xdr:colOff>79375</xdr:colOff>
      <xdr:row>14</xdr:row>
      <xdr:rowOff>19844</xdr:rowOff>
    </xdr:to>
    <xdr:sp macro="" textlink="PvotData!K7">
      <xdr:nvSpPr>
        <xdr:cNvPr id="209" name="TextBox 208">
          <a:extLst>
            <a:ext uri="{FF2B5EF4-FFF2-40B4-BE49-F238E27FC236}">
              <a16:creationId xmlns:a16="http://schemas.microsoft.com/office/drawing/2014/main" id="{2AC2AA20-7295-6115-1D57-F8FB1CD5FDC7}"/>
            </a:ext>
          </a:extLst>
        </xdr:cNvPr>
        <xdr:cNvSpPr txBox="1"/>
      </xdr:nvSpPr>
      <xdr:spPr>
        <a:xfrm>
          <a:off x="317500" y="2242344"/>
          <a:ext cx="2788047" cy="416719"/>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7D5D93-418E-4407-9476-A8AF4BAA4328}" type="TxLink">
            <a:rPr lang="en-US" sz="1800" b="1">
              <a:solidFill>
                <a:schemeClr val="accent5">
                  <a:lumMod val="75000"/>
                </a:schemeClr>
              </a:solidFill>
              <a:latin typeface="Lucida Bright" panose="02040602050505020304" pitchFamily="18" charset="0"/>
              <a:ea typeface="+mn-ea"/>
              <a:cs typeface="+mn-cs"/>
            </a:rPr>
            <a:pPr marL="0" indent="0" algn="ctr"/>
            <a:t>1479</a:t>
          </a:fld>
          <a:endParaRPr lang="en-IN" sz="1800" b="1">
            <a:solidFill>
              <a:schemeClr val="accent5">
                <a:lumMod val="75000"/>
              </a:schemeClr>
            </a:solidFill>
            <a:latin typeface="Lucida Bright" panose="02040602050505020304" pitchFamily="18" charset="0"/>
            <a:ea typeface="+mn-ea"/>
            <a:cs typeface="+mn-cs"/>
          </a:endParaRPr>
        </a:p>
      </xdr:txBody>
    </xdr:sp>
    <xdr:clientData/>
  </xdr:twoCellAnchor>
  <xdr:twoCellAnchor>
    <xdr:from>
      <xdr:col>0</xdr:col>
      <xdr:colOff>327422</xdr:colOff>
      <xdr:row>16</xdr:row>
      <xdr:rowOff>0</xdr:rowOff>
    </xdr:from>
    <xdr:to>
      <xdr:col>5</xdr:col>
      <xdr:colOff>69453</xdr:colOff>
      <xdr:row>18</xdr:row>
      <xdr:rowOff>128985</xdr:rowOff>
    </xdr:to>
    <xdr:sp macro="" textlink="">
      <xdr:nvSpPr>
        <xdr:cNvPr id="210" name="TextBox 209">
          <a:extLst>
            <a:ext uri="{FF2B5EF4-FFF2-40B4-BE49-F238E27FC236}">
              <a16:creationId xmlns:a16="http://schemas.microsoft.com/office/drawing/2014/main" id="{2DC2A329-69EE-C67F-3C61-FB5E8CFC8573}"/>
            </a:ext>
          </a:extLst>
        </xdr:cNvPr>
        <xdr:cNvSpPr txBox="1"/>
      </xdr:nvSpPr>
      <xdr:spPr>
        <a:xfrm>
          <a:off x="327422" y="3016250"/>
          <a:ext cx="2768203" cy="506016"/>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a:solidFill>
                <a:schemeClr val="accent5">
                  <a:lumMod val="75000"/>
                </a:schemeClr>
              </a:solidFill>
              <a:latin typeface="Lucida Bright" panose="02040602050505020304" pitchFamily="18" charset="0"/>
              <a:ea typeface="+mn-ea"/>
              <a:cs typeface="+mn-cs"/>
            </a:rPr>
            <a:t>TOTAL SALES</a:t>
          </a:r>
        </a:p>
      </xdr:txBody>
    </xdr:sp>
    <xdr:clientData/>
  </xdr:twoCellAnchor>
  <xdr:twoCellAnchor>
    <xdr:from>
      <xdr:col>0</xdr:col>
      <xdr:colOff>337344</xdr:colOff>
      <xdr:row>19</xdr:row>
      <xdr:rowOff>19844</xdr:rowOff>
    </xdr:from>
    <xdr:to>
      <xdr:col>5</xdr:col>
      <xdr:colOff>69453</xdr:colOff>
      <xdr:row>21</xdr:row>
      <xdr:rowOff>69453</xdr:rowOff>
    </xdr:to>
    <xdr:sp macro="" textlink="PvotData!K6">
      <xdr:nvSpPr>
        <xdr:cNvPr id="211" name="TextBox 210">
          <a:extLst>
            <a:ext uri="{FF2B5EF4-FFF2-40B4-BE49-F238E27FC236}">
              <a16:creationId xmlns:a16="http://schemas.microsoft.com/office/drawing/2014/main" id="{281AF369-D024-5472-B5C4-0DF0FD1107DE}"/>
            </a:ext>
          </a:extLst>
        </xdr:cNvPr>
        <xdr:cNvSpPr txBox="1"/>
      </xdr:nvSpPr>
      <xdr:spPr>
        <a:xfrm>
          <a:off x="337344" y="3601641"/>
          <a:ext cx="2758281" cy="42664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4D53F8-4F74-4614-A124-E49D8550B831}" type="TxLink">
            <a:rPr lang="en-US" sz="1800" b="1">
              <a:solidFill>
                <a:schemeClr val="accent5">
                  <a:lumMod val="75000"/>
                </a:schemeClr>
              </a:solidFill>
              <a:latin typeface="Lucida Bright" panose="02040602050505020304" pitchFamily="18" charset="0"/>
              <a:ea typeface="+mn-ea"/>
              <a:cs typeface="+mn-cs"/>
            </a:rPr>
            <a:pPr marL="0" indent="0" algn="ctr"/>
            <a:t>37227091</a:t>
          </a:fld>
          <a:endParaRPr lang="en-IN" sz="1800" b="1">
            <a:solidFill>
              <a:schemeClr val="accent5">
                <a:lumMod val="75000"/>
              </a:schemeClr>
            </a:solidFill>
            <a:latin typeface="Lucida Bright" panose="02040602050505020304" pitchFamily="18" charset="0"/>
            <a:ea typeface="+mn-ea"/>
            <a:cs typeface="+mn-cs"/>
          </a:endParaRPr>
        </a:p>
      </xdr:txBody>
    </xdr:sp>
    <xdr:clientData/>
  </xdr:twoCellAnchor>
  <xdr:twoCellAnchor>
    <xdr:from>
      <xdr:col>0</xdr:col>
      <xdr:colOff>287733</xdr:colOff>
      <xdr:row>23</xdr:row>
      <xdr:rowOff>39688</xdr:rowOff>
    </xdr:from>
    <xdr:to>
      <xdr:col>5</xdr:col>
      <xdr:colOff>49608</xdr:colOff>
      <xdr:row>25</xdr:row>
      <xdr:rowOff>168672</xdr:rowOff>
    </xdr:to>
    <xdr:sp macro="" textlink="">
      <xdr:nvSpPr>
        <xdr:cNvPr id="212" name="TextBox 211">
          <a:extLst>
            <a:ext uri="{FF2B5EF4-FFF2-40B4-BE49-F238E27FC236}">
              <a16:creationId xmlns:a16="http://schemas.microsoft.com/office/drawing/2014/main" id="{2E66F0CC-D22D-DEBE-E392-EACB31A094EC}"/>
            </a:ext>
          </a:extLst>
        </xdr:cNvPr>
        <xdr:cNvSpPr txBox="1"/>
      </xdr:nvSpPr>
      <xdr:spPr>
        <a:xfrm>
          <a:off x="287733" y="4375547"/>
          <a:ext cx="2788047" cy="506016"/>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a:solidFill>
                <a:schemeClr val="accent5">
                  <a:lumMod val="75000"/>
                </a:schemeClr>
              </a:solidFill>
              <a:latin typeface="Lucida Bright" panose="02040602050505020304" pitchFamily="18" charset="0"/>
              <a:ea typeface="+mn-ea"/>
              <a:cs typeface="+mn-cs"/>
            </a:rPr>
            <a:t>TOTAL PROFIT</a:t>
          </a:r>
        </a:p>
      </xdr:txBody>
    </xdr:sp>
    <xdr:clientData/>
  </xdr:twoCellAnchor>
  <xdr:twoCellAnchor>
    <xdr:from>
      <xdr:col>0</xdr:col>
      <xdr:colOff>297657</xdr:colOff>
      <xdr:row>26</xdr:row>
      <xdr:rowOff>49610</xdr:rowOff>
    </xdr:from>
    <xdr:to>
      <xdr:col>5</xdr:col>
      <xdr:colOff>49609</xdr:colOff>
      <xdr:row>28</xdr:row>
      <xdr:rowOff>128984</xdr:rowOff>
    </xdr:to>
    <xdr:sp macro="" textlink="PvotData!K8">
      <xdr:nvSpPr>
        <xdr:cNvPr id="213" name="TextBox 212">
          <a:extLst>
            <a:ext uri="{FF2B5EF4-FFF2-40B4-BE49-F238E27FC236}">
              <a16:creationId xmlns:a16="http://schemas.microsoft.com/office/drawing/2014/main" id="{48BB385E-1CC1-C7D9-DAF7-8450CD52B428}"/>
            </a:ext>
          </a:extLst>
        </xdr:cNvPr>
        <xdr:cNvSpPr txBox="1"/>
      </xdr:nvSpPr>
      <xdr:spPr>
        <a:xfrm>
          <a:off x="297657" y="4951016"/>
          <a:ext cx="2778124" cy="456406"/>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566C04E-D715-4BA9-BD84-3E2AD37070A8}" type="TxLink">
            <a:rPr lang="en-US" sz="1800" b="1">
              <a:solidFill>
                <a:schemeClr val="accent5">
                  <a:lumMod val="75000"/>
                </a:schemeClr>
              </a:solidFill>
              <a:latin typeface="Lucida Bright" panose="02040602050505020304" pitchFamily="18" charset="0"/>
              <a:ea typeface="+mn-ea"/>
              <a:cs typeface="+mn-cs"/>
            </a:rPr>
            <a:pPr marL="0" indent="0" algn="ctr"/>
            <a:t>1532557</a:t>
          </a:fld>
          <a:endParaRPr lang="en-IN" sz="1800" b="1">
            <a:solidFill>
              <a:schemeClr val="accent5">
                <a:lumMod val="75000"/>
              </a:schemeClr>
            </a:solidFill>
            <a:latin typeface="Lucida Bright" panose="02040602050505020304" pitchFamily="18" charset="0"/>
            <a:ea typeface="+mn-ea"/>
            <a:cs typeface="+mn-cs"/>
          </a:endParaRPr>
        </a:p>
      </xdr:txBody>
    </xdr:sp>
    <xdr:clientData/>
  </xdr:twoCellAnchor>
  <xdr:twoCellAnchor>
    <xdr:from>
      <xdr:col>13</xdr:col>
      <xdr:colOff>248047</xdr:colOff>
      <xdr:row>3</xdr:row>
      <xdr:rowOff>99219</xdr:rowOff>
    </xdr:from>
    <xdr:to>
      <xdr:col>18</xdr:col>
      <xdr:colOff>386953</xdr:colOff>
      <xdr:row>16</xdr:row>
      <xdr:rowOff>0</xdr:rowOff>
    </xdr:to>
    <xdr:graphicFrame macro="">
      <xdr:nvGraphicFramePr>
        <xdr:cNvPr id="215" name="Chart 214">
          <a:extLst>
            <a:ext uri="{FF2B5EF4-FFF2-40B4-BE49-F238E27FC236}">
              <a16:creationId xmlns:a16="http://schemas.microsoft.com/office/drawing/2014/main" id="{21E146EE-F98E-415C-93D9-BC79D3FAE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251930</xdr:colOff>
      <xdr:row>3</xdr:row>
      <xdr:rowOff>89296</xdr:rowOff>
    </xdr:from>
    <xdr:to>
      <xdr:col>9</xdr:col>
      <xdr:colOff>242009</xdr:colOff>
      <xdr:row>13</xdr:row>
      <xdr:rowOff>110434</xdr:rowOff>
    </xdr:to>
    <mc:AlternateContent xmlns:mc="http://schemas.openxmlformats.org/markup-compatibility/2006">
      <mc:Choice xmlns:a14="http://schemas.microsoft.com/office/drawing/2010/main" Requires="a14">
        <xdr:graphicFrame macro="">
          <xdr:nvGraphicFramePr>
            <xdr:cNvPr id="216" name="Region 1">
              <a:extLst>
                <a:ext uri="{FF2B5EF4-FFF2-40B4-BE49-F238E27FC236}">
                  <a16:creationId xmlns:a16="http://schemas.microsoft.com/office/drawing/2014/main" id="{AF47CEF0-98CC-438D-84BE-402EAF7F9E4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311475" y="643478"/>
              <a:ext cx="2437716" cy="1868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267891</xdr:colOff>
      <xdr:row>3</xdr:row>
      <xdr:rowOff>89296</xdr:rowOff>
    </xdr:from>
    <xdr:to>
      <xdr:col>13</xdr:col>
      <xdr:colOff>218281</xdr:colOff>
      <xdr:row>13</xdr:row>
      <xdr:rowOff>103908</xdr:rowOff>
    </xdr:to>
    <mc:AlternateContent xmlns:mc="http://schemas.openxmlformats.org/markup-compatibility/2006" xmlns:a14="http://schemas.microsoft.com/office/drawing/2010/main">
      <mc:Choice Requires="a14">
        <xdr:graphicFrame macro="">
          <xdr:nvGraphicFramePr>
            <xdr:cNvPr id="217" name="Category 1">
              <a:extLst>
                <a:ext uri="{FF2B5EF4-FFF2-40B4-BE49-F238E27FC236}">
                  <a16:creationId xmlns:a16="http://schemas.microsoft.com/office/drawing/2014/main" id="{EE8BDD9A-064D-4219-BB0E-21FEE60E853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763083" y="638816"/>
              <a:ext cx="2392698" cy="1618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257969</xdr:colOff>
      <xdr:row>16</xdr:row>
      <xdr:rowOff>34637</xdr:rowOff>
    </xdr:from>
    <xdr:to>
      <xdr:col>18</xdr:col>
      <xdr:colOff>386953</xdr:colOff>
      <xdr:row>32</xdr:row>
      <xdr:rowOff>57727</xdr:rowOff>
    </xdr:to>
    <xdr:graphicFrame macro="">
      <xdr:nvGraphicFramePr>
        <xdr:cNvPr id="218" name="Chart 217">
          <a:extLst>
            <a:ext uri="{FF2B5EF4-FFF2-40B4-BE49-F238E27FC236}">
              <a16:creationId xmlns:a16="http://schemas.microsoft.com/office/drawing/2014/main" id="{6923D7BE-2F23-4AE7-B6DA-6D4FBCC2C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196282</xdr:colOff>
      <xdr:row>13</xdr:row>
      <xdr:rowOff>138043</xdr:rowOff>
    </xdr:from>
    <xdr:to>
      <xdr:col>13</xdr:col>
      <xdr:colOff>245891</xdr:colOff>
      <xdr:row>32</xdr:row>
      <xdr:rowOff>69272</xdr:rowOff>
    </xdr:to>
    <xdr:graphicFrame macro="">
      <xdr:nvGraphicFramePr>
        <xdr:cNvPr id="8" name="Chart 7">
          <a:extLst>
            <a:ext uri="{FF2B5EF4-FFF2-40B4-BE49-F238E27FC236}">
              <a16:creationId xmlns:a16="http://schemas.microsoft.com/office/drawing/2014/main" id="{3E19E9DB-2F5A-45FB-AC01-E6E573E59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416718</xdr:colOff>
      <xdr:row>0</xdr:row>
      <xdr:rowOff>29767</xdr:rowOff>
    </xdr:from>
    <xdr:to>
      <xdr:col>27</xdr:col>
      <xdr:colOff>55218</xdr:colOff>
      <xdr:row>32</xdr:row>
      <xdr:rowOff>55217</xdr:rowOff>
    </xdr:to>
    <xdr:graphicFrame macro="">
      <xdr:nvGraphicFramePr>
        <xdr:cNvPr id="9" name="Chart 8">
          <a:extLst>
            <a:ext uri="{FF2B5EF4-FFF2-40B4-BE49-F238E27FC236}">
              <a16:creationId xmlns:a16="http://schemas.microsoft.com/office/drawing/2014/main" id="{7A1C65EF-9F56-409A-8666-831AC9EF9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151.68604108796" createdVersion="8" refreshedVersion="8" minRefreshableVersion="3" recordCount="300" xr:uid="{C92BFB26-1B3F-4D27-ABCF-D213BE352F6A}">
  <cacheSource type="worksheet">
    <worksheetSource name="sales_data_large"/>
  </cacheSource>
  <cacheFields count="10">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682837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n v="1"/>
    <n v="13875"/>
    <x v="0"/>
    <n v="13875"/>
    <n v="2775"/>
  </r>
  <r>
    <s v="Sneha"/>
    <x v="1"/>
    <x v="1"/>
    <x v="1"/>
    <n v="6"/>
    <n v="2622"/>
    <x v="1"/>
    <n v="15732"/>
    <n v="524.4"/>
  </r>
  <r>
    <s v="Anita"/>
    <x v="0"/>
    <x v="2"/>
    <x v="2"/>
    <n v="5"/>
    <n v="49756"/>
    <x v="2"/>
    <n v="248780"/>
    <n v="9951.2000000000007"/>
  </r>
  <r>
    <s v="Karan"/>
    <x v="0"/>
    <x v="3"/>
    <x v="3"/>
    <n v="4"/>
    <n v="41809"/>
    <x v="3"/>
    <n v="167236"/>
    <n v="8361.7999999999993"/>
  </r>
  <r>
    <s v="Vikas"/>
    <x v="2"/>
    <x v="2"/>
    <x v="2"/>
    <n v="3"/>
    <n v="17725"/>
    <x v="4"/>
    <n v="53175"/>
    <n v="3545"/>
  </r>
  <r>
    <s v="Neha"/>
    <x v="0"/>
    <x v="3"/>
    <x v="0"/>
    <n v="1"/>
    <n v="41760"/>
    <x v="5"/>
    <n v="41760"/>
    <n v="8352"/>
  </r>
  <r>
    <s v="Ravi"/>
    <x v="3"/>
    <x v="0"/>
    <x v="0"/>
    <n v="6"/>
    <n v="16646"/>
    <x v="6"/>
    <n v="99876"/>
    <n v="3329.2"/>
  </r>
  <r>
    <s v="Vikas"/>
    <x v="3"/>
    <x v="3"/>
    <x v="0"/>
    <n v="2"/>
    <n v="18029"/>
    <x v="7"/>
    <n v="36058"/>
    <n v="3605.8"/>
  </r>
  <r>
    <s v="Anita"/>
    <x v="1"/>
    <x v="0"/>
    <x v="4"/>
    <n v="8"/>
    <n v="30402"/>
    <x v="8"/>
    <n v="243216"/>
    <n v="6080.4"/>
  </r>
  <r>
    <s v="Karan"/>
    <x v="0"/>
    <x v="3"/>
    <x v="4"/>
    <n v="5"/>
    <n v="5263"/>
    <x v="9"/>
    <n v="26315"/>
    <n v="1052.5999999999999"/>
  </r>
  <r>
    <s v="Sneha"/>
    <x v="1"/>
    <x v="0"/>
    <x v="5"/>
    <n v="7"/>
    <n v="31987"/>
    <x v="10"/>
    <n v="223909"/>
    <n v="6397.4"/>
  </r>
  <r>
    <s v="Anita"/>
    <x v="3"/>
    <x v="3"/>
    <x v="5"/>
    <n v="2"/>
    <n v="47828"/>
    <x v="11"/>
    <n v="95656"/>
    <n v="9565.6"/>
  </r>
  <r>
    <s v="Anita"/>
    <x v="0"/>
    <x v="1"/>
    <x v="0"/>
    <n v="8"/>
    <n v="48924"/>
    <x v="12"/>
    <n v="391392"/>
    <n v="9784.7999999999993"/>
  </r>
  <r>
    <s v="Ravi"/>
    <x v="0"/>
    <x v="3"/>
    <x v="1"/>
    <n v="2"/>
    <n v="9646"/>
    <x v="13"/>
    <n v="19292"/>
    <n v="1929.2"/>
  </r>
  <r>
    <s v="Pooja"/>
    <x v="1"/>
    <x v="3"/>
    <x v="6"/>
    <n v="4"/>
    <n v="28529"/>
    <x v="14"/>
    <n v="114116"/>
    <n v="5705.8"/>
  </r>
  <r>
    <s v="Karan"/>
    <x v="3"/>
    <x v="1"/>
    <x v="4"/>
    <n v="1"/>
    <n v="12664"/>
    <x v="15"/>
    <n v="12664"/>
    <n v="2532.8000000000002"/>
  </r>
  <r>
    <s v="Priya"/>
    <x v="0"/>
    <x v="2"/>
    <x v="1"/>
    <n v="5"/>
    <n v="36737"/>
    <x v="16"/>
    <n v="183685"/>
    <n v="7347.4"/>
  </r>
  <r>
    <s v="Anita"/>
    <x v="1"/>
    <x v="2"/>
    <x v="7"/>
    <n v="9"/>
    <n v="36796"/>
    <x v="17"/>
    <n v="331164"/>
    <n v="7359.2"/>
  </r>
  <r>
    <s v="Pooja"/>
    <x v="3"/>
    <x v="3"/>
    <x v="4"/>
    <n v="1"/>
    <n v="25027"/>
    <x v="18"/>
    <n v="25027"/>
    <n v="5005.3999999999996"/>
  </r>
  <r>
    <s v="Priya"/>
    <x v="1"/>
    <x v="1"/>
    <x v="4"/>
    <n v="9"/>
    <n v="30373"/>
    <x v="19"/>
    <n v="273357"/>
    <n v="6074.6"/>
  </r>
  <r>
    <s v="Karan"/>
    <x v="2"/>
    <x v="3"/>
    <x v="5"/>
    <n v="8"/>
    <n v="37397"/>
    <x v="20"/>
    <n v="299176"/>
    <n v="7479.4"/>
  </r>
  <r>
    <s v="Amit"/>
    <x v="0"/>
    <x v="0"/>
    <x v="6"/>
    <n v="6"/>
    <n v="21609"/>
    <x v="21"/>
    <n v="129654"/>
    <n v="4321.8"/>
  </r>
  <r>
    <s v="Neha"/>
    <x v="2"/>
    <x v="0"/>
    <x v="6"/>
    <n v="7"/>
    <n v="36835"/>
    <x v="22"/>
    <n v="257845"/>
    <n v="7367"/>
  </r>
  <r>
    <s v="Pooja"/>
    <x v="3"/>
    <x v="3"/>
    <x v="3"/>
    <n v="3"/>
    <n v="39709"/>
    <x v="23"/>
    <n v="119127"/>
    <n v="7941.8"/>
  </r>
  <r>
    <s v="Deepak"/>
    <x v="2"/>
    <x v="2"/>
    <x v="2"/>
    <n v="1"/>
    <n v="20250"/>
    <x v="24"/>
    <n v="20250"/>
    <n v="4050"/>
  </r>
  <r>
    <s v="Amit"/>
    <x v="2"/>
    <x v="2"/>
    <x v="2"/>
    <n v="5"/>
    <n v="22172"/>
    <x v="25"/>
    <n v="110860"/>
    <n v="4434.3999999999996"/>
  </r>
  <r>
    <s v="Neha"/>
    <x v="3"/>
    <x v="3"/>
    <x v="2"/>
    <n v="2"/>
    <n v="12555"/>
    <x v="26"/>
    <n v="25110"/>
    <n v="2511"/>
  </r>
  <r>
    <s v="Ravi"/>
    <x v="1"/>
    <x v="3"/>
    <x v="2"/>
    <n v="5"/>
    <n v="22874"/>
    <x v="27"/>
    <n v="114370"/>
    <n v="4574.8"/>
  </r>
  <r>
    <s v="Vikas"/>
    <x v="2"/>
    <x v="0"/>
    <x v="7"/>
    <n v="8"/>
    <n v="14081"/>
    <x v="28"/>
    <n v="112648"/>
    <n v="2816.2"/>
  </r>
  <r>
    <s v="Sneha"/>
    <x v="1"/>
    <x v="2"/>
    <x v="7"/>
    <n v="9"/>
    <n v="25063"/>
    <x v="29"/>
    <n v="225567"/>
    <n v="5012.6000000000004"/>
  </r>
  <r>
    <s v="Deepak"/>
    <x v="2"/>
    <x v="3"/>
    <x v="4"/>
    <n v="2"/>
    <n v="7819"/>
    <x v="30"/>
    <n v="15638"/>
    <n v="1563.8"/>
  </r>
  <r>
    <s v="Ravi"/>
    <x v="1"/>
    <x v="0"/>
    <x v="0"/>
    <n v="3"/>
    <n v="26712"/>
    <x v="31"/>
    <n v="80136"/>
    <n v="5342.4"/>
  </r>
  <r>
    <s v="Karan"/>
    <x v="3"/>
    <x v="2"/>
    <x v="5"/>
    <n v="3"/>
    <n v="25762"/>
    <x v="32"/>
    <n v="77286"/>
    <n v="5152.3999999999996"/>
  </r>
  <r>
    <s v="Ravi"/>
    <x v="2"/>
    <x v="1"/>
    <x v="5"/>
    <n v="1"/>
    <n v="12046"/>
    <x v="33"/>
    <n v="12046"/>
    <n v="2409.1999999999998"/>
  </r>
  <r>
    <s v="Vikas"/>
    <x v="3"/>
    <x v="0"/>
    <x v="2"/>
    <n v="8"/>
    <n v="32463"/>
    <x v="34"/>
    <n v="259704"/>
    <n v="6492.6"/>
  </r>
  <r>
    <s v="Karan"/>
    <x v="2"/>
    <x v="2"/>
    <x v="4"/>
    <n v="6"/>
    <n v="29769"/>
    <x v="35"/>
    <n v="178614"/>
    <n v="5953.8"/>
  </r>
  <r>
    <s v="Deepak"/>
    <x v="3"/>
    <x v="2"/>
    <x v="3"/>
    <n v="8"/>
    <n v="24150"/>
    <x v="36"/>
    <n v="193200"/>
    <n v="4830"/>
  </r>
  <r>
    <s v="Vikas"/>
    <x v="3"/>
    <x v="0"/>
    <x v="1"/>
    <n v="9"/>
    <n v="3711"/>
    <x v="37"/>
    <n v="33399"/>
    <n v="742.2"/>
  </r>
  <r>
    <s v="Priya"/>
    <x v="2"/>
    <x v="1"/>
    <x v="0"/>
    <n v="5"/>
    <n v="5853"/>
    <x v="38"/>
    <n v="29265"/>
    <n v="1170.5999999999999"/>
  </r>
  <r>
    <s v="Sneha"/>
    <x v="2"/>
    <x v="0"/>
    <x v="4"/>
    <n v="3"/>
    <n v="30077"/>
    <x v="39"/>
    <n v="90231"/>
    <n v="6015.4"/>
  </r>
  <r>
    <s v="Deepak"/>
    <x v="2"/>
    <x v="2"/>
    <x v="0"/>
    <n v="5"/>
    <n v="24863"/>
    <x v="40"/>
    <n v="124315"/>
    <n v="4972.6000000000004"/>
  </r>
  <r>
    <s v="Priya"/>
    <x v="0"/>
    <x v="3"/>
    <x v="0"/>
    <n v="5"/>
    <n v="22792"/>
    <x v="41"/>
    <n v="113960"/>
    <n v="4558.3999999999996"/>
  </r>
  <r>
    <s v="Neha"/>
    <x v="1"/>
    <x v="3"/>
    <x v="0"/>
    <n v="5"/>
    <n v="41483"/>
    <x v="42"/>
    <n v="207415"/>
    <n v="8296.6"/>
  </r>
  <r>
    <s v="Deepak"/>
    <x v="0"/>
    <x v="0"/>
    <x v="4"/>
    <n v="3"/>
    <n v="9942"/>
    <x v="43"/>
    <n v="29826"/>
    <n v="1988.4"/>
  </r>
  <r>
    <s v="Neha"/>
    <x v="0"/>
    <x v="2"/>
    <x v="2"/>
    <n v="4"/>
    <n v="49275"/>
    <x v="44"/>
    <n v="197100"/>
    <n v="9855"/>
  </r>
  <r>
    <s v="Karan"/>
    <x v="3"/>
    <x v="3"/>
    <x v="5"/>
    <n v="9"/>
    <n v="49594"/>
    <x v="45"/>
    <n v="446346"/>
    <n v="9918.7999999999993"/>
  </r>
  <r>
    <s v="Priya"/>
    <x v="2"/>
    <x v="2"/>
    <x v="5"/>
    <n v="9"/>
    <n v="2762"/>
    <x v="46"/>
    <n v="24858"/>
    <n v="552.4"/>
  </r>
  <r>
    <s v="Sneha"/>
    <x v="1"/>
    <x v="0"/>
    <x v="2"/>
    <n v="2"/>
    <n v="32987"/>
    <x v="47"/>
    <n v="65974"/>
    <n v="6597.4"/>
  </r>
  <r>
    <s v="Vikas"/>
    <x v="3"/>
    <x v="3"/>
    <x v="0"/>
    <n v="8"/>
    <n v="16850"/>
    <x v="48"/>
    <n v="134800"/>
    <n v="3370"/>
  </r>
  <r>
    <s v="Anita"/>
    <x v="0"/>
    <x v="2"/>
    <x v="1"/>
    <n v="8"/>
    <n v="13112"/>
    <x v="49"/>
    <n v="104896"/>
    <n v="2622.4"/>
  </r>
  <r>
    <s v="Ravi"/>
    <x v="2"/>
    <x v="3"/>
    <x v="6"/>
    <n v="7"/>
    <n v="25058"/>
    <x v="50"/>
    <n v="175406"/>
    <n v="5011.6000000000004"/>
  </r>
  <r>
    <s v="Amit"/>
    <x v="3"/>
    <x v="0"/>
    <x v="4"/>
    <n v="8"/>
    <n v="46420"/>
    <x v="51"/>
    <n v="371360"/>
    <n v="9284"/>
  </r>
  <r>
    <s v="Sneha"/>
    <x v="2"/>
    <x v="2"/>
    <x v="6"/>
    <n v="3"/>
    <n v="39890"/>
    <x v="52"/>
    <n v="119670"/>
    <n v="7978"/>
  </r>
  <r>
    <s v="Priya"/>
    <x v="3"/>
    <x v="3"/>
    <x v="3"/>
    <n v="6"/>
    <n v="1481"/>
    <x v="53"/>
    <n v="8886"/>
    <n v="296.2"/>
  </r>
  <r>
    <s v="Anita"/>
    <x v="2"/>
    <x v="0"/>
    <x v="2"/>
    <n v="1"/>
    <n v="48304"/>
    <x v="54"/>
    <n v="48304"/>
    <n v="9660.7999999999993"/>
  </r>
  <r>
    <s v="Sneha"/>
    <x v="0"/>
    <x v="3"/>
    <x v="1"/>
    <n v="7"/>
    <n v="33921"/>
    <x v="55"/>
    <n v="237447"/>
    <n v="6784.2"/>
  </r>
  <r>
    <s v="Priya"/>
    <x v="1"/>
    <x v="3"/>
    <x v="4"/>
    <n v="1"/>
    <n v="41385"/>
    <x v="56"/>
    <n v="41385"/>
    <n v="8277"/>
  </r>
  <r>
    <s v="Pooja"/>
    <x v="0"/>
    <x v="1"/>
    <x v="2"/>
    <n v="9"/>
    <n v="2524"/>
    <x v="57"/>
    <n v="22716"/>
    <n v="504.8"/>
  </r>
  <r>
    <s v="Pooja"/>
    <x v="1"/>
    <x v="1"/>
    <x v="0"/>
    <n v="1"/>
    <n v="35888"/>
    <x v="58"/>
    <n v="35888"/>
    <n v="7177.6"/>
  </r>
  <r>
    <s v="Neha"/>
    <x v="2"/>
    <x v="0"/>
    <x v="5"/>
    <n v="1"/>
    <n v="16048"/>
    <x v="59"/>
    <n v="16048"/>
    <n v="3209.6"/>
  </r>
  <r>
    <s v="Sneha"/>
    <x v="3"/>
    <x v="1"/>
    <x v="6"/>
    <n v="7"/>
    <n v="36111"/>
    <x v="60"/>
    <n v="252777"/>
    <n v="7222.2"/>
  </r>
  <r>
    <s v="Pooja"/>
    <x v="0"/>
    <x v="0"/>
    <x v="7"/>
    <n v="2"/>
    <n v="38904"/>
    <x v="61"/>
    <n v="77808"/>
    <n v="7780.8"/>
  </r>
  <r>
    <s v="Priya"/>
    <x v="1"/>
    <x v="1"/>
    <x v="7"/>
    <n v="5"/>
    <n v="35008"/>
    <x v="62"/>
    <n v="175040"/>
    <n v="7001.6"/>
  </r>
  <r>
    <s v="Neha"/>
    <x v="0"/>
    <x v="3"/>
    <x v="1"/>
    <n v="8"/>
    <n v="1060"/>
    <x v="63"/>
    <n v="8480"/>
    <n v="212"/>
  </r>
  <r>
    <s v="Priya"/>
    <x v="1"/>
    <x v="0"/>
    <x v="0"/>
    <n v="8"/>
    <n v="10130"/>
    <x v="64"/>
    <n v="81040"/>
    <n v="2026"/>
  </r>
  <r>
    <s v="Neha"/>
    <x v="0"/>
    <x v="0"/>
    <x v="3"/>
    <n v="3"/>
    <n v="19023"/>
    <x v="65"/>
    <n v="57069"/>
    <n v="3804.6"/>
  </r>
  <r>
    <s v="Sneha"/>
    <x v="1"/>
    <x v="3"/>
    <x v="6"/>
    <n v="7"/>
    <n v="46080"/>
    <x v="66"/>
    <n v="322560"/>
    <n v="9216"/>
  </r>
  <r>
    <s v="Anita"/>
    <x v="1"/>
    <x v="0"/>
    <x v="0"/>
    <n v="3"/>
    <n v="14350"/>
    <x v="67"/>
    <n v="43050"/>
    <n v="2870"/>
  </r>
  <r>
    <s v="Vikas"/>
    <x v="2"/>
    <x v="0"/>
    <x v="6"/>
    <n v="6"/>
    <n v="25354"/>
    <x v="68"/>
    <n v="152124"/>
    <n v="5070.8"/>
  </r>
  <r>
    <s v="Deepak"/>
    <x v="1"/>
    <x v="1"/>
    <x v="1"/>
    <n v="6"/>
    <n v="46186"/>
    <x v="69"/>
    <n v="277116"/>
    <n v="9237.2000000000007"/>
  </r>
  <r>
    <s v="Anita"/>
    <x v="2"/>
    <x v="0"/>
    <x v="1"/>
    <n v="3"/>
    <n v="29145"/>
    <x v="70"/>
    <n v="87435"/>
    <n v="5829"/>
  </r>
  <r>
    <s v="Karan"/>
    <x v="1"/>
    <x v="2"/>
    <x v="3"/>
    <n v="7"/>
    <n v="35020"/>
    <x v="71"/>
    <n v="245140"/>
    <n v="7004"/>
  </r>
  <r>
    <s v="Priya"/>
    <x v="3"/>
    <x v="3"/>
    <x v="7"/>
    <n v="3"/>
    <n v="21587"/>
    <x v="72"/>
    <n v="64761"/>
    <n v="4317.3999999999996"/>
  </r>
  <r>
    <s v="Karan"/>
    <x v="3"/>
    <x v="1"/>
    <x v="0"/>
    <n v="8"/>
    <n v="42131"/>
    <x v="73"/>
    <n v="337048"/>
    <n v="8426.2000000000007"/>
  </r>
  <r>
    <s v="Anita"/>
    <x v="3"/>
    <x v="1"/>
    <x v="4"/>
    <n v="4"/>
    <n v="10650"/>
    <x v="74"/>
    <n v="42600"/>
    <n v="2130"/>
  </r>
  <r>
    <s v="Neha"/>
    <x v="1"/>
    <x v="2"/>
    <x v="7"/>
    <n v="1"/>
    <n v="20933"/>
    <x v="75"/>
    <n v="20933"/>
    <n v="4186.6000000000004"/>
  </r>
  <r>
    <s v="Deepak"/>
    <x v="2"/>
    <x v="3"/>
    <x v="0"/>
    <n v="4"/>
    <n v="21581"/>
    <x v="76"/>
    <n v="86324"/>
    <n v="4316.2"/>
  </r>
  <r>
    <s v="Deepak"/>
    <x v="2"/>
    <x v="3"/>
    <x v="7"/>
    <n v="7"/>
    <n v="24393"/>
    <x v="77"/>
    <n v="170751"/>
    <n v="4878.6000000000004"/>
  </r>
  <r>
    <s v="Amit"/>
    <x v="1"/>
    <x v="1"/>
    <x v="4"/>
    <n v="4"/>
    <n v="24051"/>
    <x v="78"/>
    <n v="96204"/>
    <n v="4810.2"/>
  </r>
  <r>
    <s v="Deepak"/>
    <x v="3"/>
    <x v="0"/>
    <x v="5"/>
    <n v="6"/>
    <n v="27212"/>
    <x v="79"/>
    <n v="163272"/>
    <n v="5442.4"/>
  </r>
  <r>
    <s v="Vikas"/>
    <x v="3"/>
    <x v="1"/>
    <x v="5"/>
    <n v="9"/>
    <n v="5090"/>
    <x v="80"/>
    <n v="45810"/>
    <n v="1018"/>
  </r>
  <r>
    <s v="Deepak"/>
    <x v="2"/>
    <x v="3"/>
    <x v="3"/>
    <n v="1"/>
    <n v="7960"/>
    <x v="81"/>
    <n v="7960"/>
    <n v="1592"/>
  </r>
  <r>
    <s v="Anita"/>
    <x v="3"/>
    <x v="2"/>
    <x v="5"/>
    <n v="5"/>
    <n v="36772"/>
    <x v="82"/>
    <n v="183860"/>
    <n v="7354.4"/>
  </r>
  <r>
    <s v="Amit"/>
    <x v="0"/>
    <x v="1"/>
    <x v="5"/>
    <n v="7"/>
    <n v="22520"/>
    <x v="83"/>
    <n v="157640"/>
    <n v="4504"/>
  </r>
  <r>
    <s v="Anita"/>
    <x v="2"/>
    <x v="3"/>
    <x v="2"/>
    <n v="1"/>
    <n v="37408"/>
    <x v="84"/>
    <n v="37408"/>
    <n v="7481.6"/>
  </r>
  <r>
    <s v="Anita"/>
    <x v="3"/>
    <x v="1"/>
    <x v="6"/>
    <n v="4"/>
    <n v="29470"/>
    <x v="85"/>
    <n v="117880"/>
    <n v="5894"/>
  </r>
  <r>
    <s v="Ravi"/>
    <x v="2"/>
    <x v="0"/>
    <x v="2"/>
    <n v="6"/>
    <n v="21491"/>
    <x v="86"/>
    <n v="128946"/>
    <n v="4298.2"/>
  </r>
  <r>
    <s v="Amit"/>
    <x v="0"/>
    <x v="1"/>
    <x v="2"/>
    <n v="2"/>
    <n v="2341"/>
    <x v="87"/>
    <n v="4682"/>
    <n v="468.2"/>
  </r>
  <r>
    <s v="Anita"/>
    <x v="2"/>
    <x v="1"/>
    <x v="3"/>
    <n v="5"/>
    <n v="45623"/>
    <x v="88"/>
    <n v="228115"/>
    <n v="9124.6"/>
  </r>
  <r>
    <s v="Ravi"/>
    <x v="2"/>
    <x v="3"/>
    <x v="2"/>
    <n v="1"/>
    <n v="25791"/>
    <x v="89"/>
    <n v="25791"/>
    <n v="5158.2"/>
  </r>
  <r>
    <s v="Ravi"/>
    <x v="2"/>
    <x v="3"/>
    <x v="5"/>
    <n v="6"/>
    <n v="1338"/>
    <x v="90"/>
    <n v="8028"/>
    <n v="267.60000000000002"/>
  </r>
  <r>
    <s v="Amit"/>
    <x v="2"/>
    <x v="3"/>
    <x v="4"/>
    <n v="6"/>
    <n v="6895"/>
    <x v="91"/>
    <n v="41370"/>
    <n v="1379"/>
  </r>
  <r>
    <s v="Karan"/>
    <x v="0"/>
    <x v="1"/>
    <x v="3"/>
    <n v="4"/>
    <n v="13254"/>
    <x v="92"/>
    <n v="53016"/>
    <n v="2650.8"/>
  </r>
  <r>
    <s v="Neha"/>
    <x v="1"/>
    <x v="0"/>
    <x v="3"/>
    <n v="8"/>
    <n v="12344"/>
    <x v="93"/>
    <n v="98752"/>
    <n v="2468.8000000000002"/>
  </r>
  <r>
    <s v="Vikas"/>
    <x v="2"/>
    <x v="2"/>
    <x v="1"/>
    <n v="4"/>
    <n v="2750"/>
    <x v="94"/>
    <n v="11000"/>
    <n v="550"/>
  </r>
  <r>
    <s v="Neha"/>
    <x v="2"/>
    <x v="2"/>
    <x v="3"/>
    <n v="8"/>
    <n v="3421"/>
    <x v="95"/>
    <n v="27368"/>
    <n v="684.2"/>
  </r>
  <r>
    <s v="Deepak"/>
    <x v="3"/>
    <x v="3"/>
    <x v="1"/>
    <n v="8"/>
    <n v="40887"/>
    <x v="96"/>
    <n v="327096"/>
    <n v="8177.4"/>
  </r>
  <r>
    <s v="Vikas"/>
    <x v="2"/>
    <x v="3"/>
    <x v="3"/>
    <n v="5"/>
    <n v="6319"/>
    <x v="97"/>
    <n v="31595"/>
    <n v="1263.8"/>
  </r>
  <r>
    <s v="Deepak"/>
    <x v="3"/>
    <x v="1"/>
    <x v="6"/>
    <n v="4"/>
    <n v="16896"/>
    <x v="98"/>
    <n v="67584"/>
    <n v="3379.2"/>
  </r>
  <r>
    <s v="Anita"/>
    <x v="1"/>
    <x v="2"/>
    <x v="5"/>
    <n v="2"/>
    <n v="12918"/>
    <x v="99"/>
    <n v="25836"/>
    <n v="2583.6"/>
  </r>
  <r>
    <s v="Priya"/>
    <x v="0"/>
    <x v="3"/>
    <x v="3"/>
    <n v="3"/>
    <n v="26064"/>
    <x v="100"/>
    <n v="78192"/>
    <n v="5212.8"/>
  </r>
  <r>
    <s v="Amit"/>
    <x v="0"/>
    <x v="0"/>
    <x v="5"/>
    <n v="3"/>
    <n v="47617"/>
    <x v="101"/>
    <n v="142851"/>
    <n v="9523.4"/>
  </r>
  <r>
    <s v="Vikas"/>
    <x v="1"/>
    <x v="0"/>
    <x v="5"/>
    <n v="4"/>
    <n v="28935"/>
    <x v="102"/>
    <n v="115740"/>
    <n v="5787"/>
  </r>
  <r>
    <s v="Vikas"/>
    <x v="0"/>
    <x v="3"/>
    <x v="7"/>
    <n v="4"/>
    <n v="38641"/>
    <x v="103"/>
    <n v="154564"/>
    <n v="7728.2"/>
  </r>
  <r>
    <s v="Anita"/>
    <x v="1"/>
    <x v="3"/>
    <x v="3"/>
    <n v="5"/>
    <n v="30711"/>
    <x v="104"/>
    <n v="153555"/>
    <n v="6142.2"/>
  </r>
  <r>
    <s v="Karan"/>
    <x v="1"/>
    <x v="2"/>
    <x v="0"/>
    <n v="4"/>
    <n v="5806"/>
    <x v="105"/>
    <n v="23224"/>
    <n v="1161.2"/>
  </r>
  <r>
    <s v="Ravi"/>
    <x v="1"/>
    <x v="2"/>
    <x v="7"/>
    <n v="8"/>
    <n v="42360"/>
    <x v="106"/>
    <n v="338880"/>
    <n v="8472"/>
  </r>
  <r>
    <s v="Anita"/>
    <x v="0"/>
    <x v="1"/>
    <x v="0"/>
    <n v="6"/>
    <n v="13182"/>
    <x v="107"/>
    <n v="79092"/>
    <n v="2636.4"/>
  </r>
  <r>
    <s v="Pooja"/>
    <x v="3"/>
    <x v="2"/>
    <x v="5"/>
    <n v="6"/>
    <n v="23297"/>
    <x v="108"/>
    <n v="139782"/>
    <n v="4659.3999999999996"/>
  </r>
  <r>
    <s v="Ravi"/>
    <x v="1"/>
    <x v="0"/>
    <x v="5"/>
    <n v="8"/>
    <n v="20541"/>
    <x v="109"/>
    <n v="164328"/>
    <n v="4108.2"/>
  </r>
  <r>
    <s v="Amit"/>
    <x v="2"/>
    <x v="0"/>
    <x v="7"/>
    <n v="7"/>
    <n v="29921"/>
    <x v="110"/>
    <n v="209447"/>
    <n v="5984.2"/>
  </r>
  <r>
    <s v="Ravi"/>
    <x v="0"/>
    <x v="3"/>
    <x v="7"/>
    <n v="8"/>
    <n v="17774"/>
    <x v="111"/>
    <n v="142192"/>
    <n v="3554.8"/>
  </r>
  <r>
    <s v="Karan"/>
    <x v="1"/>
    <x v="2"/>
    <x v="0"/>
    <n v="2"/>
    <n v="45813"/>
    <x v="112"/>
    <n v="91626"/>
    <n v="9162.6"/>
  </r>
  <r>
    <s v="Ravi"/>
    <x v="1"/>
    <x v="1"/>
    <x v="1"/>
    <n v="9"/>
    <n v="38198"/>
    <x v="113"/>
    <n v="343782"/>
    <n v="7639.6"/>
  </r>
  <r>
    <s v="Amit"/>
    <x v="2"/>
    <x v="0"/>
    <x v="0"/>
    <n v="1"/>
    <n v="9820"/>
    <x v="114"/>
    <n v="9820"/>
    <n v="1964"/>
  </r>
  <r>
    <s v="Karan"/>
    <x v="3"/>
    <x v="0"/>
    <x v="7"/>
    <n v="8"/>
    <n v="25070"/>
    <x v="115"/>
    <n v="200560"/>
    <n v="5014"/>
  </r>
  <r>
    <s v="Neha"/>
    <x v="3"/>
    <x v="1"/>
    <x v="4"/>
    <n v="4"/>
    <n v="5232"/>
    <x v="116"/>
    <n v="20928"/>
    <n v="1046.4000000000001"/>
  </r>
  <r>
    <s v="Vikas"/>
    <x v="3"/>
    <x v="1"/>
    <x v="7"/>
    <n v="4"/>
    <n v="12122"/>
    <x v="117"/>
    <n v="48488"/>
    <n v="2424.4"/>
  </r>
  <r>
    <s v="Vikas"/>
    <x v="1"/>
    <x v="0"/>
    <x v="4"/>
    <n v="5"/>
    <n v="16023"/>
    <x v="118"/>
    <n v="80115"/>
    <n v="3204.6"/>
  </r>
  <r>
    <s v="Deepak"/>
    <x v="1"/>
    <x v="0"/>
    <x v="6"/>
    <n v="8"/>
    <n v="9007"/>
    <x v="119"/>
    <n v="72056"/>
    <n v="1801.4"/>
  </r>
  <r>
    <s v="Neha"/>
    <x v="1"/>
    <x v="1"/>
    <x v="7"/>
    <n v="5"/>
    <n v="18905"/>
    <x v="120"/>
    <n v="94525"/>
    <n v="3781"/>
  </r>
  <r>
    <s v="Neha"/>
    <x v="0"/>
    <x v="0"/>
    <x v="6"/>
    <n v="8"/>
    <n v="42786"/>
    <x v="121"/>
    <n v="342288"/>
    <n v="8557.2000000000007"/>
  </r>
  <r>
    <s v="Ravi"/>
    <x v="2"/>
    <x v="3"/>
    <x v="1"/>
    <n v="1"/>
    <n v="30398"/>
    <x v="122"/>
    <n v="30398"/>
    <n v="6079.6"/>
  </r>
  <r>
    <s v="Vikas"/>
    <x v="1"/>
    <x v="3"/>
    <x v="0"/>
    <n v="9"/>
    <n v="35268"/>
    <x v="123"/>
    <n v="317412"/>
    <n v="7053.6"/>
  </r>
  <r>
    <s v="Amit"/>
    <x v="2"/>
    <x v="1"/>
    <x v="4"/>
    <n v="6"/>
    <n v="7737"/>
    <x v="124"/>
    <n v="46422"/>
    <n v="1547.4"/>
  </r>
  <r>
    <s v="Sneha"/>
    <x v="2"/>
    <x v="2"/>
    <x v="0"/>
    <n v="3"/>
    <n v="37062"/>
    <x v="125"/>
    <n v="111186"/>
    <n v="7412.4"/>
  </r>
  <r>
    <s v="Sneha"/>
    <x v="3"/>
    <x v="1"/>
    <x v="6"/>
    <n v="8"/>
    <n v="26510"/>
    <x v="126"/>
    <n v="212080"/>
    <n v="5302"/>
  </r>
  <r>
    <s v="Karan"/>
    <x v="0"/>
    <x v="1"/>
    <x v="4"/>
    <n v="9"/>
    <n v="20426"/>
    <x v="127"/>
    <n v="183834"/>
    <n v="4085.2"/>
  </r>
  <r>
    <s v="Vikas"/>
    <x v="1"/>
    <x v="2"/>
    <x v="0"/>
    <n v="6"/>
    <n v="38265"/>
    <x v="128"/>
    <n v="229590"/>
    <n v="7653"/>
  </r>
  <r>
    <s v="Vikas"/>
    <x v="3"/>
    <x v="2"/>
    <x v="7"/>
    <n v="7"/>
    <n v="18850"/>
    <x v="129"/>
    <n v="131950"/>
    <n v="3770"/>
  </r>
  <r>
    <s v="Sneha"/>
    <x v="3"/>
    <x v="2"/>
    <x v="5"/>
    <n v="1"/>
    <n v="1614"/>
    <x v="130"/>
    <n v="1614"/>
    <n v="322.8"/>
  </r>
  <r>
    <s v="Vikas"/>
    <x v="1"/>
    <x v="3"/>
    <x v="6"/>
    <n v="5"/>
    <n v="22776"/>
    <x v="131"/>
    <n v="113880"/>
    <n v="4555.2"/>
  </r>
  <r>
    <s v="Ravi"/>
    <x v="2"/>
    <x v="0"/>
    <x v="0"/>
    <n v="5"/>
    <n v="25077"/>
    <x v="132"/>
    <n v="125385"/>
    <n v="5015.3999999999996"/>
  </r>
  <r>
    <s v="Pooja"/>
    <x v="3"/>
    <x v="3"/>
    <x v="6"/>
    <n v="4"/>
    <n v="10374"/>
    <x v="133"/>
    <n v="41496"/>
    <n v="2074.8000000000002"/>
  </r>
  <r>
    <s v="Priya"/>
    <x v="2"/>
    <x v="0"/>
    <x v="2"/>
    <n v="6"/>
    <n v="36435"/>
    <x v="134"/>
    <n v="218610"/>
    <n v="7287"/>
  </r>
  <r>
    <s v="Neha"/>
    <x v="0"/>
    <x v="3"/>
    <x v="6"/>
    <n v="7"/>
    <n v="31907"/>
    <x v="135"/>
    <n v="223349"/>
    <n v="6381.4"/>
  </r>
  <r>
    <s v="Deepak"/>
    <x v="2"/>
    <x v="0"/>
    <x v="4"/>
    <n v="9"/>
    <n v="14409"/>
    <x v="136"/>
    <n v="129681"/>
    <n v="2881.8"/>
  </r>
  <r>
    <s v="Karan"/>
    <x v="0"/>
    <x v="3"/>
    <x v="2"/>
    <n v="1"/>
    <n v="17514"/>
    <x v="137"/>
    <n v="17514"/>
    <n v="3502.8"/>
  </r>
  <r>
    <s v="Pooja"/>
    <x v="2"/>
    <x v="2"/>
    <x v="3"/>
    <n v="6"/>
    <n v="30866"/>
    <x v="138"/>
    <n v="185196"/>
    <n v="6173.2"/>
  </r>
  <r>
    <s v="Sneha"/>
    <x v="3"/>
    <x v="1"/>
    <x v="4"/>
    <n v="7"/>
    <n v="3983"/>
    <x v="139"/>
    <n v="27881"/>
    <n v="796.6"/>
  </r>
  <r>
    <s v="Neha"/>
    <x v="3"/>
    <x v="3"/>
    <x v="5"/>
    <n v="3"/>
    <n v="32705"/>
    <x v="140"/>
    <n v="98115"/>
    <n v="6541"/>
  </r>
  <r>
    <s v="Vikas"/>
    <x v="0"/>
    <x v="0"/>
    <x v="2"/>
    <n v="8"/>
    <n v="21662"/>
    <x v="141"/>
    <n v="173296"/>
    <n v="4332.3999999999996"/>
  </r>
  <r>
    <s v="Deepak"/>
    <x v="1"/>
    <x v="2"/>
    <x v="3"/>
    <n v="5"/>
    <n v="24510"/>
    <x v="142"/>
    <n v="122550"/>
    <n v="4902"/>
  </r>
  <r>
    <s v="Vikas"/>
    <x v="0"/>
    <x v="3"/>
    <x v="7"/>
    <n v="9"/>
    <n v="13651"/>
    <x v="143"/>
    <n v="122859"/>
    <n v="2730.2"/>
  </r>
  <r>
    <s v="Amit"/>
    <x v="0"/>
    <x v="3"/>
    <x v="6"/>
    <n v="5"/>
    <n v="41998"/>
    <x v="144"/>
    <n v="209990"/>
    <n v="8399.6"/>
  </r>
  <r>
    <s v="Amit"/>
    <x v="2"/>
    <x v="2"/>
    <x v="0"/>
    <n v="9"/>
    <n v="29535"/>
    <x v="145"/>
    <n v="265815"/>
    <n v="5907"/>
  </r>
  <r>
    <s v="Deepak"/>
    <x v="2"/>
    <x v="3"/>
    <x v="1"/>
    <n v="4"/>
    <n v="7640"/>
    <x v="146"/>
    <n v="30560"/>
    <n v="1528"/>
  </r>
  <r>
    <s v="Deepak"/>
    <x v="0"/>
    <x v="1"/>
    <x v="6"/>
    <n v="9"/>
    <n v="45547"/>
    <x v="147"/>
    <n v="409923"/>
    <n v="9109.4"/>
  </r>
  <r>
    <s v="Sneha"/>
    <x v="3"/>
    <x v="3"/>
    <x v="3"/>
    <n v="5"/>
    <n v="16317"/>
    <x v="148"/>
    <n v="81585"/>
    <n v="3263.4"/>
  </r>
  <r>
    <s v="Deepak"/>
    <x v="2"/>
    <x v="1"/>
    <x v="6"/>
    <n v="9"/>
    <n v="8564"/>
    <x v="149"/>
    <n v="77076"/>
    <n v="1712.8"/>
  </r>
  <r>
    <s v="Ravi"/>
    <x v="1"/>
    <x v="1"/>
    <x v="5"/>
    <n v="3"/>
    <n v="28345"/>
    <x v="150"/>
    <n v="85035"/>
    <n v="5669"/>
  </r>
  <r>
    <s v="Vikas"/>
    <x v="2"/>
    <x v="2"/>
    <x v="7"/>
    <n v="4"/>
    <n v="49288"/>
    <x v="151"/>
    <n v="197152"/>
    <n v="9857.6"/>
  </r>
  <r>
    <s v="Pooja"/>
    <x v="2"/>
    <x v="3"/>
    <x v="1"/>
    <n v="9"/>
    <n v="29687"/>
    <x v="152"/>
    <n v="267183"/>
    <n v="5937.4"/>
  </r>
  <r>
    <s v="Anita"/>
    <x v="1"/>
    <x v="2"/>
    <x v="2"/>
    <n v="6"/>
    <n v="14737"/>
    <x v="153"/>
    <n v="88422"/>
    <n v="2947.4"/>
  </r>
  <r>
    <s v="Deepak"/>
    <x v="0"/>
    <x v="3"/>
    <x v="2"/>
    <n v="2"/>
    <n v="10323"/>
    <x v="154"/>
    <n v="20646"/>
    <n v="2064.6"/>
  </r>
  <r>
    <s v="Karan"/>
    <x v="1"/>
    <x v="3"/>
    <x v="2"/>
    <n v="7"/>
    <n v="16229"/>
    <x v="155"/>
    <n v="113603"/>
    <n v="3245.8"/>
  </r>
  <r>
    <s v="Amit"/>
    <x v="0"/>
    <x v="0"/>
    <x v="3"/>
    <n v="2"/>
    <n v="45481"/>
    <x v="156"/>
    <n v="90962"/>
    <n v="9096.2000000000007"/>
  </r>
  <r>
    <s v="Ravi"/>
    <x v="0"/>
    <x v="3"/>
    <x v="4"/>
    <n v="2"/>
    <n v="9502"/>
    <x v="157"/>
    <n v="19004"/>
    <n v="1900.4"/>
  </r>
  <r>
    <s v="Neha"/>
    <x v="0"/>
    <x v="2"/>
    <x v="4"/>
    <n v="1"/>
    <n v="1545"/>
    <x v="158"/>
    <n v="1545"/>
    <n v="309"/>
  </r>
  <r>
    <s v="Anita"/>
    <x v="1"/>
    <x v="1"/>
    <x v="0"/>
    <n v="3"/>
    <n v="38114"/>
    <x v="159"/>
    <n v="114342"/>
    <n v="7622.8"/>
  </r>
  <r>
    <s v="Pooja"/>
    <x v="0"/>
    <x v="3"/>
    <x v="1"/>
    <n v="6"/>
    <n v="30430"/>
    <x v="160"/>
    <n v="182580"/>
    <n v="6086"/>
  </r>
  <r>
    <s v="Anita"/>
    <x v="3"/>
    <x v="0"/>
    <x v="2"/>
    <n v="8"/>
    <n v="10996"/>
    <x v="161"/>
    <n v="87968"/>
    <n v="2199.1999999999998"/>
  </r>
  <r>
    <s v="Deepak"/>
    <x v="1"/>
    <x v="2"/>
    <x v="4"/>
    <n v="9"/>
    <n v="28788"/>
    <x v="162"/>
    <n v="259092"/>
    <n v="5757.6"/>
  </r>
  <r>
    <s v="Sneha"/>
    <x v="3"/>
    <x v="3"/>
    <x v="3"/>
    <n v="7"/>
    <n v="30969"/>
    <x v="163"/>
    <n v="216783"/>
    <n v="6193.8"/>
  </r>
  <r>
    <s v="Amit"/>
    <x v="0"/>
    <x v="2"/>
    <x v="0"/>
    <n v="4"/>
    <n v="49543"/>
    <x v="164"/>
    <n v="198172"/>
    <n v="9908.6"/>
  </r>
  <r>
    <s v="Amit"/>
    <x v="2"/>
    <x v="0"/>
    <x v="7"/>
    <n v="6"/>
    <n v="14919"/>
    <x v="165"/>
    <n v="89514"/>
    <n v="2983.8"/>
  </r>
  <r>
    <s v="Neha"/>
    <x v="0"/>
    <x v="0"/>
    <x v="0"/>
    <n v="5"/>
    <n v="4810"/>
    <x v="166"/>
    <n v="24050"/>
    <n v="962"/>
  </r>
  <r>
    <s v="Sneha"/>
    <x v="3"/>
    <x v="2"/>
    <x v="4"/>
    <n v="8"/>
    <n v="31586"/>
    <x v="167"/>
    <n v="252688"/>
    <n v="6317.2"/>
  </r>
  <r>
    <s v="Vikas"/>
    <x v="3"/>
    <x v="3"/>
    <x v="5"/>
    <n v="1"/>
    <n v="40974"/>
    <x v="168"/>
    <n v="40974"/>
    <n v="8194.7999999999993"/>
  </r>
  <r>
    <s v="Priya"/>
    <x v="1"/>
    <x v="1"/>
    <x v="3"/>
    <n v="1"/>
    <n v="42773"/>
    <x v="169"/>
    <n v="42773"/>
    <n v="8554.6"/>
  </r>
  <r>
    <s v="Ravi"/>
    <x v="2"/>
    <x v="0"/>
    <x v="5"/>
    <n v="6"/>
    <n v="17371"/>
    <x v="170"/>
    <n v="104226"/>
    <n v="3474.2"/>
  </r>
  <r>
    <s v="Amit"/>
    <x v="1"/>
    <x v="3"/>
    <x v="2"/>
    <n v="2"/>
    <n v="46084"/>
    <x v="171"/>
    <n v="92168"/>
    <n v="9216.7999999999993"/>
  </r>
  <r>
    <s v="Karan"/>
    <x v="3"/>
    <x v="3"/>
    <x v="5"/>
    <n v="5"/>
    <n v="30629"/>
    <x v="172"/>
    <n v="153145"/>
    <n v="6125.8"/>
  </r>
  <r>
    <s v="Amit"/>
    <x v="0"/>
    <x v="1"/>
    <x v="2"/>
    <n v="1"/>
    <n v="9436"/>
    <x v="173"/>
    <n v="9436"/>
    <n v="1887.2"/>
  </r>
  <r>
    <s v="Anita"/>
    <x v="2"/>
    <x v="0"/>
    <x v="2"/>
    <n v="7"/>
    <n v="13984"/>
    <x v="174"/>
    <n v="97888"/>
    <n v="2796.8"/>
  </r>
  <r>
    <s v="Amit"/>
    <x v="0"/>
    <x v="0"/>
    <x v="4"/>
    <n v="1"/>
    <n v="34039"/>
    <x v="175"/>
    <n v="34039"/>
    <n v="6807.8"/>
  </r>
  <r>
    <s v="Amit"/>
    <x v="0"/>
    <x v="3"/>
    <x v="5"/>
    <n v="4"/>
    <n v="20895"/>
    <x v="176"/>
    <n v="83580"/>
    <n v="4179"/>
  </r>
  <r>
    <s v="Priya"/>
    <x v="2"/>
    <x v="3"/>
    <x v="2"/>
    <n v="9"/>
    <n v="19155"/>
    <x v="177"/>
    <n v="172395"/>
    <n v="3831"/>
  </r>
  <r>
    <s v="Priya"/>
    <x v="1"/>
    <x v="1"/>
    <x v="1"/>
    <n v="1"/>
    <n v="11616"/>
    <x v="178"/>
    <n v="11616"/>
    <n v="2323.1999999999998"/>
  </r>
  <r>
    <s v="Pooja"/>
    <x v="0"/>
    <x v="1"/>
    <x v="7"/>
    <n v="4"/>
    <n v="38129"/>
    <x v="179"/>
    <n v="152516"/>
    <n v="7625.8"/>
  </r>
  <r>
    <s v="Vikas"/>
    <x v="3"/>
    <x v="0"/>
    <x v="0"/>
    <n v="6"/>
    <n v="40837"/>
    <x v="180"/>
    <n v="245022"/>
    <n v="8167.4"/>
  </r>
  <r>
    <s v="Karan"/>
    <x v="0"/>
    <x v="2"/>
    <x v="0"/>
    <n v="6"/>
    <n v="25574"/>
    <x v="181"/>
    <n v="153444"/>
    <n v="5114.8"/>
  </r>
  <r>
    <s v="Amit"/>
    <x v="2"/>
    <x v="0"/>
    <x v="4"/>
    <n v="8"/>
    <n v="4430"/>
    <x v="182"/>
    <n v="35440"/>
    <n v="886"/>
  </r>
  <r>
    <s v="Amit"/>
    <x v="2"/>
    <x v="3"/>
    <x v="5"/>
    <n v="1"/>
    <n v="13676"/>
    <x v="183"/>
    <n v="13676"/>
    <n v="2735.2"/>
  </r>
  <r>
    <s v="Ravi"/>
    <x v="2"/>
    <x v="0"/>
    <x v="5"/>
    <n v="7"/>
    <n v="11816"/>
    <x v="184"/>
    <n v="82712"/>
    <n v="2363.1999999999998"/>
  </r>
  <r>
    <s v="Priya"/>
    <x v="1"/>
    <x v="2"/>
    <x v="2"/>
    <n v="1"/>
    <n v="33733"/>
    <x v="185"/>
    <n v="33733"/>
    <n v="6746.6"/>
  </r>
  <r>
    <s v="Karan"/>
    <x v="0"/>
    <x v="1"/>
    <x v="3"/>
    <n v="7"/>
    <n v="21144"/>
    <x v="186"/>
    <n v="148008"/>
    <n v="4228.8"/>
  </r>
  <r>
    <s v="Neha"/>
    <x v="1"/>
    <x v="2"/>
    <x v="6"/>
    <n v="3"/>
    <n v="3050"/>
    <x v="187"/>
    <n v="9150"/>
    <n v="610"/>
  </r>
  <r>
    <s v="Pooja"/>
    <x v="1"/>
    <x v="2"/>
    <x v="2"/>
    <n v="8"/>
    <n v="45460"/>
    <x v="188"/>
    <n v="363680"/>
    <n v="9092"/>
  </r>
  <r>
    <s v="Vikas"/>
    <x v="2"/>
    <x v="2"/>
    <x v="7"/>
    <n v="3"/>
    <n v="34933"/>
    <x v="189"/>
    <n v="104799"/>
    <n v="6986.6"/>
  </r>
  <r>
    <s v="Sneha"/>
    <x v="2"/>
    <x v="1"/>
    <x v="1"/>
    <n v="1"/>
    <n v="25951"/>
    <x v="190"/>
    <n v="25951"/>
    <n v="5190.2"/>
  </r>
  <r>
    <s v="Vikas"/>
    <x v="1"/>
    <x v="2"/>
    <x v="0"/>
    <n v="8"/>
    <n v="33413"/>
    <x v="191"/>
    <n v="267304"/>
    <n v="6682.6"/>
  </r>
  <r>
    <s v="Anita"/>
    <x v="0"/>
    <x v="2"/>
    <x v="2"/>
    <n v="3"/>
    <n v="35801"/>
    <x v="192"/>
    <n v="107403"/>
    <n v="7160.2"/>
  </r>
  <r>
    <s v="Amit"/>
    <x v="3"/>
    <x v="2"/>
    <x v="6"/>
    <n v="2"/>
    <n v="33913"/>
    <x v="193"/>
    <n v="67826"/>
    <n v="6782.6"/>
  </r>
  <r>
    <s v="Pooja"/>
    <x v="1"/>
    <x v="3"/>
    <x v="6"/>
    <n v="1"/>
    <n v="48037"/>
    <x v="194"/>
    <n v="48037"/>
    <n v="9607.4"/>
  </r>
  <r>
    <s v="Anita"/>
    <x v="0"/>
    <x v="2"/>
    <x v="2"/>
    <n v="3"/>
    <n v="41600"/>
    <x v="195"/>
    <n v="124800"/>
    <n v="8320"/>
  </r>
  <r>
    <s v="Karan"/>
    <x v="2"/>
    <x v="1"/>
    <x v="4"/>
    <n v="2"/>
    <n v="26280"/>
    <x v="196"/>
    <n v="52560"/>
    <n v="5256"/>
  </r>
  <r>
    <s v="Sneha"/>
    <x v="2"/>
    <x v="2"/>
    <x v="0"/>
    <n v="2"/>
    <n v="25557"/>
    <x v="197"/>
    <n v="51114"/>
    <n v="5111.3999999999996"/>
  </r>
  <r>
    <s v="Priya"/>
    <x v="0"/>
    <x v="2"/>
    <x v="4"/>
    <n v="6"/>
    <n v="48054"/>
    <x v="198"/>
    <n v="288324"/>
    <n v="9610.7999999999993"/>
  </r>
  <r>
    <s v="Pooja"/>
    <x v="3"/>
    <x v="1"/>
    <x v="1"/>
    <n v="1"/>
    <n v="36400"/>
    <x v="199"/>
    <n v="36400"/>
    <n v="7280"/>
  </r>
  <r>
    <s v="Pooja"/>
    <x v="2"/>
    <x v="2"/>
    <x v="6"/>
    <n v="2"/>
    <n v="5494"/>
    <x v="200"/>
    <n v="10988"/>
    <n v="1098.8"/>
  </r>
  <r>
    <s v="Amit"/>
    <x v="2"/>
    <x v="1"/>
    <x v="6"/>
    <n v="6"/>
    <n v="16152"/>
    <x v="201"/>
    <n v="96912"/>
    <n v="3230.4"/>
  </r>
  <r>
    <s v="Deepak"/>
    <x v="2"/>
    <x v="2"/>
    <x v="7"/>
    <n v="3"/>
    <n v="24895"/>
    <x v="202"/>
    <n v="74685"/>
    <n v="4979"/>
  </r>
  <r>
    <s v="Pooja"/>
    <x v="0"/>
    <x v="1"/>
    <x v="1"/>
    <n v="4"/>
    <n v="10155"/>
    <x v="203"/>
    <n v="40620"/>
    <n v="2031"/>
  </r>
  <r>
    <s v="Ravi"/>
    <x v="1"/>
    <x v="2"/>
    <x v="6"/>
    <n v="1"/>
    <n v="32883"/>
    <x v="204"/>
    <n v="32883"/>
    <n v="6576.6"/>
  </r>
  <r>
    <s v="Sneha"/>
    <x v="2"/>
    <x v="2"/>
    <x v="1"/>
    <n v="8"/>
    <n v="44194"/>
    <x v="205"/>
    <n v="353552"/>
    <n v="8838.7999999999993"/>
  </r>
  <r>
    <s v="Sneha"/>
    <x v="1"/>
    <x v="3"/>
    <x v="0"/>
    <n v="7"/>
    <n v="44001"/>
    <x v="206"/>
    <n v="308007"/>
    <n v="8800.2000000000007"/>
  </r>
  <r>
    <s v="Ravi"/>
    <x v="3"/>
    <x v="3"/>
    <x v="5"/>
    <n v="7"/>
    <n v="2828"/>
    <x v="207"/>
    <n v="19796"/>
    <n v="565.6"/>
  </r>
  <r>
    <s v="Neha"/>
    <x v="2"/>
    <x v="2"/>
    <x v="6"/>
    <n v="3"/>
    <n v="46028"/>
    <x v="208"/>
    <n v="138084"/>
    <n v="9205.6"/>
  </r>
  <r>
    <s v="Ravi"/>
    <x v="2"/>
    <x v="2"/>
    <x v="7"/>
    <n v="3"/>
    <n v="42898"/>
    <x v="209"/>
    <n v="128694"/>
    <n v="8579.6"/>
  </r>
  <r>
    <s v="Ravi"/>
    <x v="3"/>
    <x v="0"/>
    <x v="0"/>
    <n v="2"/>
    <n v="33123"/>
    <x v="210"/>
    <n v="66246"/>
    <n v="6624.6"/>
  </r>
  <r>
    <s v="Sneha"/>
    <x v="2"/>
    <x v="1"/>
    <x v="2"/>
    <n v="1"/>
    <n v="38573"/>
    <x v="211"/>
    <n v="38573"/>
    <n v="7714.6"/>
  </r>
  <r>
    <s v="Vikas"/>
    <x v="1"/>
    <x v="0"/>
    <x v="1"/>
    <n v="7"/>
    <n v="1806"/>
    <x v="212"/>
    <n v="12642"/>
    <n v="361.2"/>
  </r>
  <r>
    <s v="Sneha"/>
    <x v="0"/>
    <x v="3"/>
    <x v="2"/>
    <n v="7"/>
    <n v="41970"/>
    <x v="213"/>
    <n v="293790"/>
    <n v="8394"/>
  </r>
  <r>
    <s v="Deepak"/>
    <x v="1"/>
    <x v="3"/>
    <x v="4"/>
    <n v="2"/>
    <n v="30757"/>
    <x v="214"/>
    <n v="61514"/>
    <n v="6151.4"/>
  </r>
  <r>
    <s v="Amit"/>
    <x v="0"/>
    <x v="3"/>
    <x v="0"/>
    <n v="7"/>
    <n v="35636"/>
    <x v="215"/>
    <n v="249452"/>
    <n v="7127.2"/>
  </r>
  <r>
    <s v="Anita"/>
    <x v="0"/>
    <x v="3"/>
    <x v="2"/>
    <n v="8"/>
    <n v="15561"/>
    <x v="216"/>
    <n v="124488"/>
    <n v="3112.2"/>
  </r>
  <r>
    <s v="Vikas"/>
    <x v="1"/>
    <x v="2"/>
    <x v="3"/>
    <n v="1"/>
    <n v="49280"/>
    <x v="217"/>
    <n v="49280"/>
    <n v="9856"/>
  </r>
  <r>
    <s v="Priya"/>
    <x v="1"/>
    <x v="3"/>
    <x v="3"/>
    <n v="9"/>
    <n v="25262"/>
    <x v="218"/>
    <n v="227358"/>
    <n v="5052.3999999999996"/>
  </r>
  <r>
    <s v="Anita"/>
    <x v="1"/>
    <x v="2"/>
    <x v="6"/>
    <n v="7"/>
    <n v="15899"/>
    <x v="219"/>
    <n v="111293"/>
    <n v="3179.8"/>
  </r>
  <r>
    <s v="Amit"/>
    <x v="1"/>
    <x v="2"/>
    <x v="1"/>
    <n v="3"/>
    <n v="49988"/>
    <x v="220"/>
    <n v="149964"/>
    <n v="9997.6"/>
  </r>
  <r>
    <s v="Deepak"/>
    <x v="3"/>
    <x v="3"/>
    <x v="5"/>
    <n v="8"/>
    <n v="16934"/>
    <x v="221"/>
    <n v="135472"/>
    <n v="3386.8"/>
  </r>
  <r>
    <s v="Deepak"/>
    <x v="2"/>
    <x v="3"/>
    <x v="0"/>
    <n v="7"/>
    <n v="39197"/>
    <x v="222"/>
    <n v="274379"/>
    <n v="7839.4"/>
  </r>
  <r>
    <s v="Priya"/>
    <x v="0"/>
    <x v="1"/>
    <x v="6"/>
    <n v="8"/>
    <n v="42844"/>
    <x v="223"/>
    <n v="342752"/>
    <n v="8568.7999999999993"/>
  </r>
  <r>
    <s v="Vikas"/>
    <x v="1"/>
    <x v="0"/>
    <x v="7"/>
    <n v="6"/>
    <n v="37332"/>
    <x v="224"/>
    <n v="223992"/>
    <n v="7466.4"/>
  </r>
  <r>
    <s v="Neha"/>
    <x v="1"/>
    <x v="3"/>
    <x v="4"/>
    <n v="9"/>
    <n v="35157"/>
    <x v="225"/>
    <n v="316413"/>
    <n v="7031.4"/>
  </r>
  <r>
    <s v="Ravi"/>
    <x v="1"/>
    <x v="1"/>
    <x v="1"/>
    <n v="5"/>
    <n v="12593"/>
    <x v="226"/>
    <n v="62965"/>
    <n v="2518.6"/>
  </r>
  <r>
    <s v="Vikas"/>
    <x v="3"/>
    <x v="1"/>
    <x v="0"/>
    <n v="3"/>
    <n v="41042"/>
    <x v="227"/>
    <n v="123126"/>
    <n v="8208.4"/>
  </r>
  <r>
    <s v="Neha"/>
    <x v="1"/>
    <x v="0"/>
    <x v="3"/>
    <n v="3"/>
    <n v="18320"/>
    <x v="228"/>
    <n v="54960"/>
    <n v="3664"/>
  </r>
  <r>
    <s v="Deepak"/>
    <x v="1"/>
    <x v="2"/>
    <x v="0"/>
    <n v="1"/>
    <n v="28376"/>
    <x v="229"/>
    <n v="28376"/>
    <n v="5675.2"/>
  </r>
  <r>
    <s v="Sneha"/>
    <x v="1"/>
    <x v="3"/>
    <x v="5"/>
    <n v="8"/>
    <n v="44513"/>
    <x v="230"/>
    <n v="356104"/>
    <n v="8902.6"/>
  </r>
  <r>
    <s v="Amit"/>
    <x v="2"/>
    <x v="0"/>
    <x v="3"/>
    <n v="2"/>
    <n v="15199"/>
    <x v="231"/>
    <n v="30398"/>
    <n v="3039.8"/>
  </r>
  <r>
    <s v="Priya"/>
    <x v="3"/>
    <x v="3"/>
    <x v="5"/>
    <n v="3"/>
    <n v="16876"/>
    <x v="232"/>
    <n v="50628"/>
    <n v="3375.2"/>
  </r>
  <r>
    <s v="Amit"/>
    <x v="1"/>
    <x v="1"/>
    <x v="7"/>
    <n v="8"/>
    <n v="9245"/>
    <x v="233"/>
    <n v="73960"/>
    <n v="1849"/>
  </r>
  <r>
    <s v="Karan"/>
    <x v="0"/>
    <x v="1"/>
    <x v="4"/>
    <n v="8"/>
    <n v="8214"/>
    <x v="234"/>
    <n v="65712"/>
    <n v="1642.8"/>
  </r>
  <r>
    <s v="Karan"/>
    <x v="0"/>
    <x v="2"/>
    <x v="7"/>
    <n v="4"/>
    <n v="1726"/>
    <x v="235"/>
    <n v="6904"/>
    <n v="345.2"/>
  </r>
  <r>
    <s v="Vikas"/>
    <x v="0"/>
    <x v="1"/>
    <x v="6"/>
    <n v="4"/>
    <n v="47600"/>
    <x v="236"/>
    <n v="190400"/>
    <n v="9520"/>
  </r>
  <r>
    <s v="Deepak"/>
    <x v="3"/>
    <x v="1"/>
    <x v="6"/>
    <n v="5"/>
    <n v="12362"/>
    <x v="237"/>
    <n v="61810"/>
    <n v="2472.4"/>
  </r>
  <r>
    <s v="Deepak"/>
    <x v="3"/>
    <x v="0"/>
    <x v="7"/>
    <n v="6"/>
    <n v="19297"/>
    <x v="238"/>
    <n v="115782"/>
    <n v="3859.4"/>
  </r>
  <r>
    <s v="Ravi"/>
    <x v="0"/>
    <x v="3"/>
    <x v="4"/>
    <n v="5"/>
    <n v="31448"/>
    <x v="239"/>
    <n v="157240"/>
    <n v="6289.6"/>
  </r>
  <r>
    <s v="Ravi"/>
    <x v="1"/>
    <x v="3"/>
    <x v="7"/>
    <n v="7"/>
    <n v="27172"/>
    <x v="240"/>
    <n v="190204"/>
    <n v="5434.4"/>
  </r>
  <r>
    <s v="Ravi"/>
    <x v="3"/>
    <x v="0"/>
    <x v="4"/>
    <n v="2"/>
    <n v="43874"/>
    <x v="241"/>
    <n v="87748"/>
    <n v="8774.7999999999993"/>
  </r>
  <r>
    <s v="Sneha"/>
    <x v="0"/>
    <x v="2"/>
    <x v="4"/>
    <n v="7"/>
    <n v="8657"/>
    <x v="242"/>
    <n v="60599"/>
    <n v="1731.4"/>
  </r>
  <r>
    <s v="Anita"/>
    <x v="0"/>
    <x v="3"/>
    <x v="2"/>
    <n v="7"/>
    <n v="19850"/>
    <x v="243"/>
    <n v="138950"/>
    <n v="3970"/>
  </r>
  <r>
    <s v="Pooja"/>
    <x v="1"/>
    <x v="1"/>
    <x v="3"/>
    <n v="1"/>
    <n v="26425"/>
    <x v="244"/>
    <n v="26425"/>
    <n v="5285"/>
  </r>
  <r>
    <s v="Anita"/>
    <x v="2"/>
    <x v="3"/>
    <x v="1"/>
    <n v="7"/>
    <n v="27685"/>
    <x v="245"/>
    <n v="193795"/>
    <n v="5537"/>
  </r>
  <r>
    <s v="Amit"/>
    <x v="3"/>
    <x v="1"/>
    <x v="4"/>
    <n v="5"/>
    <n v="48319"/>
    <x v="246"/>
    <n v="241595"/>
    <n v="9663.7999999999993"/>
  </r>
  <r>
    <s v="Anita"/>
    <x v="1"/>
    <x v="2"/>
    <x v="5"/>
    <n v="3"/>
    <n v="25578"/>
    <x v="247"/>
    <n v="76734"/>
    <n v="5115.6000000000004"/>
  </r>
  <r>
    <s v="Sneha"/>
    <x v="0"/>
    <x v="0"/>
    <x v="4"/>
    <n v="3"/>
    <n v="29831"/>
    <x v="248"/>
    <n v="89493"/>
    <n v="5966.2"/>
  </r>
  <r>
    <s v="Amit"/>
    <x v="0"/>
    <x v="3"/>
    <x v="4"/>
    <n v="4"/>
    <n v="8906"/>
    <x v="249"/>
    <n v="35624"/>
    <n v="1781.2"/>
  </r>
  <r>
    <s v="Anita"/>
    <x v="1"/>
    <x v="0"/>
    <x v="4"/>
    <n v="2"/>
    <n v="8287"/>
    <x v="250"/>
    <n v="16574"/>
    <n v="1657.4"/>
  </r>
  <r>
    <s v="Sneha"/>
    <x v="3"/>
    <x v="3"/>
    <x v="2"/>
    <n v="2"/>
    <n v="34660"/>
    <x v="251"/>
    <n v="69320"/>
    <n v="6932"/>
  </r>
  <r>
    <s v="Pooja"/>
    <x v="2"/>
    <x v="1"/>
    <x v="3"/>
    <n v="1"/>
    <n v="11222"/>
    <x v="252"/>
    <n v="11222"/>
    <n v="2244.4"/>
  </r>
  <r>
    <s v="Anita"/>
    <x v="2"/>
    <x v="0"/>
    <x v="2"/>
    <n v="5"/>
    <n v="38443"/>
    <x v="253"/>
    <n v="192215"/>
    <n v="7688.6"/>
  </r>
  <r>
    <s v="Sneha"/>
    <x v="0"/>
    <x v="3"/>
    <x v="6"/>
    <n v="4"/>
    <n v="35701"/>
    <x v="254"/>
    <n v="142804"/>
    <n v="7140.2"/>
  </r>
  <r>
    <s v="Ravi"/>
    <x v="3"/>
    <x v="1"/>
    <x v="2"/>
    <n v="2"/>
    <n v="18764"/>
    <x v="255"/>
    <n v="37528"/>
    <n v="3752.8"/>
  </r>
  <r>
    <s v="Deepak"/>
    <x v="2"/>
    <x v="0"/>
    <x v="5"/>
    <n v="3"/>
    <n v="45641"/>
    <x v="256"/>
    <n v="136923"/>
    <n v="9128.2000000000007"/>
  </r>
  <r>
    <s v="Ravi"/>
    <x v="3"/>
    <x v="0"/>
    <x v="5"/>
    <n v="7"/>
    <n v="18674"/>
    <x v="257"/>
    <n v="130718"/>
    <n v="3734.8"/>
  </r>
  <r>
    <s v="Deepak"/>
    <x v="3"/>
    <x v="3"/>
    <x v="2"/>
    <n v="7"/>
    <n v="19024"/>
    <x v="258"/>
    <n v="133168"/>
    <n v="3804.8"/>
  </r>
  <r>
    <s v="Priya"/>
    <x v="0"/>
    <x v="3"/>
    <x v="3"/>
    <n v="4"/>
    <n v="47007"/>
    <x v="259"/>
    <n v="188028"/>
    <n v="9401.4"/>
  </r>
  <r>
    <s v="Priya"/>
    <x v="2"/>
    <x v="3"/>
    <x v="7"/>
    <n v="5"/>
    <n v="24874"/>
    <x v="260"/>
    <n v="124370"/>
    <n v="4974.8"/>
  </r>
  <r>
    <s v="Priya"/>
    <x v="1"/>
    <x v="1"/>
    <x v="1"/>
    <n v="5"/>
    <n v="44642"/>
    <x v="261"/>
    <n v="223210"/>
    <n v="8928.4"/>
  </r>
  <r>
    <s v="Pooja"/>
    <x v="0"/>
    <x v="3"/>
    <x v="3"/>
    <n v="6"/>
    <n v="33284"/>
    <x v="262"/>
    <n v="199704"/>
    <n v="6656.8"/>
  </r>
  <r>
    <s v="Ravi"/>
    <x v="2"/>
    <x v="0"/>
    <x v="2"/>
    <n v="9"/>
    <n v="18602"/>
    <x v="263"/>
    <n v="167418"/>
    <n v="3720.4"/>
  </r>
  <r>
    <s v="Deepak"/>
    <x v="2"/>
    <x v="0"/>
    <x v="4"/>
    <n v="2"/>
    <n v="38784"/>
    <x v="264"/>
    <n v="77568"/>
    <n v="7756.8"/>
  </r>
  <r>
    <s v="Sneha"/>
    <x v="2"/>
    <x v="3"/>
    <x v="0"/>
    <n v="5"/>
    <n v="24265"/>
    <x v="265"/>
    <n v="121325"/>
    <n v="4853"/>
  </r>
  <r>
    <s v="Amit"/>
    <x v="2"/>
    <x v="3"/>
    <x v="1"/>
    <n v="3"/>
    <n v="26931"/>
    <x v="266"/>
    <n v="80793"/>
    <n v="5386.2"/>
  </r>
  <r>
    <s v="Sneha"/>
    <x v="2"/>
    <x v="2"/>
    <x v="1"/>
    <n v="4"/>
    <n v="29841"/>
    <x v="267"/>
    <n v="119364"/>
    <n v="5968.2"/>
  </r>
  <r>
    <s v="Amit"/>
    <x v="3"/>
    <x v="0"/>
    <x v="5"/>
    <n v="6"/>
    <n v="30192"/>
    <x v="268"/>
    <n v="181152"/>
    <n v="6038.4"/>
  </r>
  <r>
    <s v="Karan"/>
    <x v="0"/>
    <x v="1"/>
    <x v="1"/>
    <n v="8"/>
    <n v="47542"/>
    <x v="269"/>
    <n v="380336"/>
    <n v="9508.4"/>
  </r>
  <r>
    <s v="Sneha"/>
    <x v="3"/>
    <x v="2"/>
    <x v="2"/>
    <n v="1"/>
    <n v="43520"/>
    <x v="270"/>
    <n v="43520"/>
    <n v="8704"/>
  </r>
  <r>
    <s v="Anita"/>
    <x v="1"/>
    <x v="3"/>
    <x v="4"/>
    <n v="8"/>
    <n v="16585"/>
    <x v="271"/>
    <n v="132680"/>
    <n v="3317"/>
  </r>
  <r>
    <s v="Anita"/>
    <x v="2"/>
    <x v="3"/>
    <x v="4"/>
    <n v="7"/>
    <n v="26559"/>
    <x v="272"/>
    <n v="185913"/>
    <n v="5311.8"/>
  </r>
  <r>
    <s v="Vikas"/>
    <x v="0"/>
    <x v="0"/>
    <x v="6"/>
    <n v="1"/>
    <n v="41059"/>
    <x v="273"/>
    <n v="41059"/>
    <n v="8211.7999999999993"/>
  </r>
  <r>
    <s v="Ravi"/>
    <x v="2"/>
    <x v="3"/>
    <x v="4"/>
    <n v="2"/>
    <n v="34742"/>
    <x v="274"/>
    <n v="69484"/>
    <n v="6948.4"/>
  </r>
  <r>
    <s v="Amit"/>
    <x v="0"/>
    <x v="1"/>
    <x v="3"/>
    <n v="3"/>
    <n v="5133"/>
    <x v="275"/>
    <n v="15399"/>
    <n v="1026.5999999999999"/>
  </r>
  <r>
    <s v="Amit"/>
    <x v="3"/>
    <x v="0"/>
    <x v="4"/>
    <n v="1"/>
    <n v="15663"/>
    <x v="276"/>
    <n v="15663"/>
    <n v="3132.6"/>
  </r>
  <r>
    <s v="Ravi"/>
    <x v="0"/>
    <x v="3"/>
    <x v="5"/>
    <n v="9"/>
    <n v="22754"/>
    <x v="277"/>
    <n v="204786"/>
    <n v="4550.8"/>
  </r>
  <r>
    <s v="Pooja"/>
    <x v="1"/>
    <x v="0"/>
    <x v="4"/>
    <n v="8"/>
    <n v="4972"/>
    <x v="278"/>
    <n v="39776"/>
    <n v="994.4"/>
  </r>
  <r>
    <s v="Vikas"/>
    <x v="1"/>
    <x v="3"/>
    <x v="6"/>
    <n v="2"/>
    <n v="6295"/>
    <x v="279"/>
    <n v="12590"/>
    <n v="1259"/>
  </r>
  <r>
    <s v="Pooja"/>
    <x v="0"/>
    <x v="3"/>
    <x v="0"/>
    <n v="9"/>
    <n v="47681"/>
    <x v="280"/>
    <n v="429129"/>
    <n v="9536.2000000000007"/>
  </r>
  <r>
    <s v="Pooja"/>
    <x v="0"/>
    <x v="3"/>
    <x v="2"/>
    <n v="7"/>
    <n v="42873"/>
    <x v="281"/>
    <n v="300111"/>
    <n v="8574.6"/>
  </r>
  <r>
    <s v="Pooja"/>
    <x v="0"/>
    <x v="1"/>
    <x v="5"/>
    <n v="9"/>
    <n v="30125"/>
    <x v="282"/>
    <n v="271125"/>
    <n v="6025"/>
  </r>
  <r>
    <s v="Ravi"/>
    <x v="0"/>
    <x v="1"/>
    <x v="3"/>
    <n v="6"/>
    <n v="41996"/>
    <x v="283"/>
    <n v="251976"/>
    <n v="8399.2000000000007"/>
  </r>
  <r>
    <s v="Pooja"/>
    <x v="1"/>
    <x v="0"/>
    <x v="0"/>
    <n v="6"/>
    <n v="10903"/>
    <x v="284"/>
    <n v="65418"/>
    <n v="2180.6"/>
  </r>
  <r>
    <s v="Anita"/>
    <x v="2"/>
    <x v="3"/>
    <x v="5"/>
    <n v="4"/>
    <n v="4020"/>
    <x v="285"/>
    <n v="16080"/>
    <n v="804"/>
  </r>
  <r>
    <s v="Priya"/>
    <x v="0"/>
    <x v="3"/>
    <x v="7"/>
    <n v="2"/>
    <n v="42755"/>
    <x v="286"/>
    <n v="85510"/>
    <n v="8551"/>
  </r>
  <r>
    <s v="Karan"/>
    <x v="0"/>
    <x v="1"/>
    <x v="1"/>
    <n v="7"/>
    <n v="21420"/>
    <x v="287"/>
    <n v="149940"/>
    <n v="4284"/>
  </r>
  <r>
    <s v="Amit"/>
    <x v="1"/>
    <x v="3"/>
    <x v="7"/>
    <n v="5"/>
    <n v="22452"/>
    <x v="288"/>
    <n v="112260"/>
    <n v="4490.3999999999996"/>
  </r>
  <r>
    <s v="Amit"/>
    <x v="1"/>
    <x v="1"/>
    <x v="4"/>
    <n v="6"/>
    <n v="46648"/>
    <x v="289"/>
    <n v="279888"/>
    <n v="9329.6"/>
  </r>
  <r>
    <s v="Karan"/>
    <x v="3"/>
    <x v="3"/>
    <x v="0"/>
    <n v="2"/>
    <n v="39001"/>
    <x v="290"/>
    <n v="78002"/>
    <n v="7800.2"/>
  </r>
  <r>
    <s v="Ravi"/>
    <x v="0"/>
    <x v="0"/>
    <x v="4"/>
    <n v="5"/>
    <n v="10516"/>
    <x v="291"/>
    <n v="52580"/>
    <n v="2103.1999999999998"/>
  </r>
  <r>
    <s v="Sneha"/>
    <x v="3"/>
    <x v="3"/>
    <x v="1"/>
    <n v="4"/>
    <n v="48327"/>
    <x v="292"/>
    <n v="193308"/>
    <n v="9665.4"/>
  </r>
  <r>
    <s v="Ravi"/>
    <x v="1"/>
    <x v="3"/>
    <x v="5"/>
    <n v="9"/>
    <n v="3396"/>
    <x v="293"/>
    <n v="30564"/>
    <n v="679.2"/>
  </r>
  <r>
    <s v="Amit"/>
    <x v="1"/>
    <x v="2"/>
    <x v="1"/>
    <n v="6"/>
    <n v="19546"/>
    <x v="294"/>
    <n v="117276"/>
    <n v="3909.2"/>
  </r>
  <r>
    <s v="Amit"/>
    <x v="2"/>
    <x v="1"/>
    <x v="6"/>
    <n v="2"/>
    <n v="20129"/>
    <x v="295"/>
    <n v="40258"/>
    <n v="4025.8"/>
  </r>
  <r>
    <s v="Karan"/>
    <x v="0"/>
    <x v="3"/>
    <x v="1"/>
    <n v="1"/>
    <n v="2591"/>
    <x v="296"/>
    <n v="2591"/>
    <n v="518.20000000000005"/>
  </r>
  <r>
    <s v="Pooja"/>
    <x v="3"/>
    <x v="3"/>
    <x v="6"/>
    <n v="5"/>
    <n v="12303"/>
    <x v="297"/>
    <n v="61515"/>
    <n v="2460.6"/>
  </r>
  <r>
    <s v="Ravi"/>
    <x v="1"/>
    <x v="2"/>
    <x v="1"/>
    <n v="9"/>
    <n v="31561"/>
    <x v="298"/>
    <n v="284049"/>
    <n v="6312.2"/>
  </r>
  <r>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0078F5-2029-413C-A54C-59AB70E243A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s">
  <location ref="G3:H14"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CB5C69-6983-4DFB-99B8-892484268D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s">
  <location ref="D3:E12"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Total Sales"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A807B9-4170-4916-8E59-76D900ECD5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11:B16"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7"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2DEC95-66C8-4434-81DF-84E64D4C97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B8"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Total Sales" fld="7" baseField="0" baseItem="0"/>
  </dataFields>
  <chartFormats count="6">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CAD2F4-86C2-4E99-8912-B610CD64B27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G16:H21"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C9853E-B4AD-44FA-B8E4-CA340EE6EE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D16:E21"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3D4F0C-D6B7-4965-87BE-91192C18B197}" name="PtProductOT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roducts">
  <location ref="D9:E20"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showAll="0"/>
    <pivotField showAll="0"/>
    <pivotField showAll="0"/>
    <pivotField axis="axisRow"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9"/>
    <field x="6"/>
  </rowFields>
  <rowItems count="11">
    <i>
      <x v="1"/>
    </i>
    <i>
      <x v="2"/>
    </i>
    <i>
      <x v="3"/>
    </i>
    <i>
      <x v="4"/>
    </i>
    <i>
      <x v="5"/>
    </i>
    <i>
      <x v="6"/>
    </i>
    <i>
      <x v="7"/>
    </i>
    <i>
      <x v="8"/>
    </i>
    <i>
      <x v="9"/>
    </i>
    <i>
      <x v="10"/>
    </i>
    <i t="grand">
      <x/>
    </i>
  </rowItems>
  <colItems count="1">
    <i/>
  </colItems>
  <dataFields count="1">
    <dataField name="Sum of Total Sales" fld="7"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01AA94-2352-4E8A-8C51-1B88872F8F58}" name="PtProduct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s">
  <location ref="G2:H11"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pivotField dataField="1" showAll="0"/>
    <pivotField showAll="0"/>
    <pivotField showAll="0" defaultSubtotal="0"/>
  </pivotFields>
  <rowFields count="1">
    <field x="3"/>
  </rowFields>
  <rowItems count="9">
    <i>
      <x/>
    </i>
    <i>
      <x v="1"/>
    </i>
    <i>
      <x v="2"/>
    </i>
    <i>
      <x v="3"/>
    </i>
    <i>
      <x v="4"/>
    </i>
    <i>
      <x v="5"/>
    </i>
    <i>
      <x v="6"/>
    </i>
    <i>
      <x v="7"/>
    </i>
    <i t="grand">
      <x/>
    </i>
  </rowItems>
  <colItems count="1">
    <i/>
  </colItems>
  <dataFields count="1">
    <dataField name="Sum of Total Sales" fld="7"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1325F8-309D-420C-8E5E-DB49B3476C83}" name="PtCategory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tegories">
  <location ref="D2:E7"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pivotField dataField="1" showAll="0"/>
    <pivotField showAll="0"/>
    <pivotField showAll="0" defaultSubtotal="0"/>
  </pivotFields>
  <rowFields count="1">
    <field x="2"/>
  </rowFields>
  <rowItems count="5">
    <i>
      <x/>
    </i>
    <i>
      <x v="1"/>
    </i>
    <i>
      <x v="2"/>
    </i>
    <i>
      <x v="3"/>
    </i>
    <i t="grand">
      <x/>
    </i>
  </rowItems>
  <colItems count="1">
    <i/>
  </colItems>
  <dataFields count="1">
    <dataField name="Sum of Total Sales" fld="7"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 chart="4" format="9">
      <pivotArea type="data" outline="0" fieldPosition="0">
        <references count="2">
          <reference field="4294967294" count="1" selected="0">
            <x v="0"/>
          </reference>
          <reference field="2"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1"/>
          </reference>
        </references>
      </pivotArea>
    </chartFormat>
    <chartFormat chart="6" format="13">
      <pivotArea type="data" outline="0" fieldPosition="0">
        <references count="2">
          <reference field="4294967294" count="1" selected="0">
            <x v="0"/>
          </reference>
          <reference field="2" count="1" selected="0">
            <x v="2"/>
          </reference>
        </references>
      </pivotArea>
    </chartFormat>
    <chartFormat chart="6"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3EDF4D-540E-458F-B845-66B29A70EA07}" name="PtRegion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s">
  <location ref="A2:B7"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pivotField dataField="1" showAll="0"/>
    <pivotField showAll="0"/>
    <pivotField showAll="0" defaultSubtotal="0"/>
  </pivotFields>
  <rowFields count="1">
    <field x="1"/>
  </rowFields>
  <rowItems count="5">
    <i>
      <x/>
    </i>
    <i>
      <x v="1"/>
    </i>
    <i>
      <x v="2"/>
    </i>
    <i>
      <x v="3"/>
    </i>
    <i t="grand">
      <x/>
    </i>
  </rowItems>
  <colItems count="1">
    <i/>
  </colItems>
  <dataFields count="1">
    <dataField name="Sum of Total Sales" fld="7" baseField="0" baseItem="0"/>
  </dataFields>
  <chartFormats count="10">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 count="1" selected="0">
            <x v="0"/>
          </reference>
        </references>
      </pivotArea>
    </chartFormat>
    <chartFormat chart="10" format="12">
      <pivotArea type="data" outline="0" fieldPosition="0">
        <references count="2">
          <reference field="4294967294" count="1" selected="0">
            <x v="0"/>
          </reference>
          <reference field="1" count="1" selected="0">
            <x v="1"/>
          </reference>
        </references>
      </pivotArea>
    </chartFormat>
    <chartFormat chart="10" format="13">
      <pivotArea type="data" outline="0" fieldPosition="0">
        <references count="2">
          <reference field="4294967294" count="1" selected="0">
            <x v="0"/>
          </reference>
          <reference field="1" count="1" selected="0">
            <x v="2"/>
          </reference>
        </references>
      </pivotArea>
    </chartFormat>
    <chartFormat chart="10" format="14">
      <pivotArea type="data" outline="0" fieldPosition="0">
        <references count="2">
          <reference field="4294967294" count="1" selected="0">
            <x v="0"/>
          </reference>
          <reference field="1" count="1" selected="0">
            <x v="3"/>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 count="1" selected="0">
            <x v="3"/>
          </reference>
        </references>
      </pivotArea>
    </chartFormat>
    <chartFormat chart="11" format="2">
      <pivotArea type="data" outline="0" fieldPosition="0">
        <references count="2">
          <reference field="4294967294" count="1" selected="0">
            <x v="0"/>
          </reference>
          <reference field="1" count="1" selected="0">
            <x v="0"/>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 chart="11" format="4">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EA6B91-BDCF-4FDE-9C42-889AA3A852CF}" name="PtRegion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s">
  <location ref="A9:B14"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pivotField showAll="0"/>
    <pivotField showAll="0"/>
    <pivotField showAll="0" defaultSubtotal="0"/>
  </pivotFields>
  <rowFields count="1">
    <field x="1"/>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CBD786-954D-43B5-BDEE-4E51902856C1}" name="PtMonth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G14:H25"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showAll="0"/>
    <pivotField showAll="0"/>
    <pivotField showAll="0"/>
    <pivotField numFmtId="14" showAll="0"/>
    <pivotField dataField="1" showAll="0"/>
    <pivotField showAll="0"/>
    <pivotField axis="axisRow" showAll="0" defaultSubtotal="0">
      <items count="14">
        <item x="0"/>
        <item x="1"/>
        <item x="2"/>
        <item x="3"/>
        <item x="4"/>
        <item x="5"/>
        <item x="6"/>
        <item x="7"/>
        <item x="8"/>
        <item x="9"/>
        <item x="10"/>
        <item x="11"/>
        <item x="12"/>
        <item x="13"/>
      </items>
    </pivotField>
  </pivotFields>
  <rowFields count="1">
    <field x="9"/>
  </rowFields>
  <rowItems count="11">
    <i>
      <x v="1"/>
    </i>
    <i>
      <x v="2"/>
    </i>
    <i>
      <x v="3"/>
    </i>
    <i>
      <x v="4"/>
    </i>
    <i>
      <x v="5"/>
    </i>
    <i>
      <x v="6"/>
    </i>
    <i>
      <x v="7"/>
    </i>
    <i>
      <x v="8"/>
    </i>
    <i>
      <x v="9"/>
    </i>
    <i>
      <x v="10"/>
    </i>
    <i t="grand">
      <x/>
    </i>
  </rowItems>
  <colItems count="1">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AE4165E-2B56-47CE-ADA6-ABDC93C540FD}" name="PtRegionProfi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s">
  <location ref="A16:B21"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pivotField showAll="0"/>
    <pivotField dataField="1" showAll="0"/>
    <pivotField showAll="0" defaultSubtotal="0"/>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0EC046-7DC6-435C-A21C-9799D0A525A2}" sourceName="Category">
  <pivotTables>
    <pivotTable tabId="13" name="PivotTable2"/>
    <pivotTable tabId="13" name="PivotTable3"/>
    <pivotTable tabId="13" name="PivotTable4"/>
    <pivotTable tabId="13" name="PivotTable5"/>
    <pivotTable tabId="13" name="PivotTable6"/>
    <pivotTable tabId="13" name="PivotTable7"/>
  </pivotTables>
  <data>
    <tabular pivotCacheId="168283737">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A27B234-0AC7-4C79-8CE2-34A1E70BD6A1}" sourceName="Region">
  <pivotTables>
    <pivotTable tabId="17" name="PtRegionSales"/>
    <pivotTable tabId="17" name="PtCategorySales"/>
    <pivotTable tabId="17" name="PtMonthSales"/>
    <pivotTable tabId="17" name="PtProductOTSales"/>
    <pivotTable tabId="17" name="PtProductSales"/>
    <pivotTable tabId="17" name="PtRegionProfits"/>
    <pivotTable tabId="17" name="PtRegionQuantity"/>
    <pivotTable tabId="13" name="PivotTable7"/>
    <pivotTable tabId="13" name="PivotTable6"/>
    <pivotTable tabId="13" name="PivotTable5"/>
    <pivotTable tabId="13" name="PivotTable4"/>
    <pivotTable tabId="13" name="PivotTable3"/>
    <pivotTable tabId="13" name="PivotTable2"/>
  </pivotTables>
  <data>
    <tabular pivotCacheId="168283737">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C286229-05B9-4EBC-B99A-BFD7031C88A4}" sourceName="Category">
  <pivotTables>
    <pivotTable tabId="17" name="PtRegionSales"/>
    <pivotTable tabId="17" name="PtCategorySales"/>
    <pivotTable tabId="17" name="PtMonthSales"/>
    <pivotTable tabId="17" name="PtProductOTSales"/>
    <pivotTable tabId="17" name="PtProductSales"/>
    <pivotTable tabId="17" name="PtRegionProfits"/>
    <pivotTable tabId="17" name="PtRegionQuantity"/>
  </pivotTables>
  <data>
    <tabular pivotCacheId="168283737">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976269B-2ABA-4F5F-93E6-58CFBDAC3076}" cache="Slicer_Category" caption="Category" style="SlicerStyleLight4" rowHeight="241300"/>
  <slicer name="Region" xr10:uid="{5ED825E0-340D-40C5-8BC9-05E1CE4FFB4C}" cache="Slicer_Region1" caption="Region"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581DF37-1B95-418F-A0D6-90EB78B48B55}" cache="Slicer_Region1" caption="Region" style="SlicerStyleLight6" rowHeight="241300"/>
  <slicer name="Category 1" xr10:uid="{AC645F64-B803-4061-9DB6-593B608DFEF2}" cache="Slicer_Category1"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I301" tableType="queryTable" totalsRowShown="0">
  <autoFilter ref="A1:I301" xr:uid="{D8DB1535-FC72-471B-A301-568A25A6FAD8}"/>
  <tableColumns count="9">
    <tableColumn id="1" xr3:uid="{7D5C7BF1-0C6D-4C31-8419-27A8921ABDB6}" uniqueName="1" name="Customer" queryTableFieldId="1" dataDxfId="4"/>
    <tableColumn id="2" xr3:uid="{F357EFF3-0D46-44CE-895F-6E617FA24B4B}" uniqueName="2" name="Region" queryTableFieldId="2" dataDxfId="3"/>
    <tableColumn id="3" xr3:uid="{E70AAE54-A7C7-4163-B235-801B7A2270B5}" uniqueName="3" name="Category" queryTableFieldId="3" dataDxfId="2"/>
    <tableColumn id="4" xr3:uid="{EE17A65A-04A3-40B0-8808-59FF7F9CB856}" uniqueName="4" name="Product" queryTableFieldId="4" dataDxfId="1"/>
    <tableColumn id="5" xr3:uid="{EFBEED6D-BCB8-4B38-A083-A13993B96DAE}" uniqueName="5" name="Quantity" queryTableFieldId="5"/>
    <tableColumn id="6" xr3:uid="{0DCF552B-1B28-4214-974A-CEFF20109193}" uniqueName="6" name="Unit Price" queryTableFieldId="6"/>
    <tableColumn id="7" xr3:uid="{C531EAB0-517C-4342-884E-D0CE1B6F7E7F}" uniqueName="7" name="Date" queryTableFieldId="7" dataDxfId="0"/>
    <tableColumn id="8" xr3:uid="{31761B45-6CA9-4883-8933-B69A3DAEE7F2}" uniqueName="8" name="Total Sales"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373B5-B2AC-4854-9AEC-0303E1A33BF2}">
  <dimension ref="A3:L21"/>
  <sheetViews>
    <sheetView topLeftCell="B1" workbookViewId="0">
      <selection activeCell="L6" sqref="L6"/>
    </sheetView>
  </sheetViews>
  <sheetFormatPr defaultRowHeight="14.5" x14ac:dyDescent="0.35"/>
  <cols>
    <col min="1" max="1" width="10.7265625" bestFit="1" customWidth="1"/>
    <col min="2" max="2" width="16.08984375" bestFit="1" customWidth="1"/>
    <col min="4" max="4" width="11.36328125" bestFit="1" customWidth="1"/>
    <col min="5" max="5" width="16.08984375" bestFit="1" customWidth="1"/>
    <col min="7" max="7" width="10.7265625" bestFit="1" customWidth="1"/>
    <col min="8" max="8" width="16.08984375" bestFit="1" customWidth="1"/>
    <col min="11" max="11" width="10.81640625" bestFit="1" customWidth="1"/>
    <col min="12" max="12" width="9" bestFit="1" customWidth="1"/>
  </cols>
  <sheetData>
    <row r="3" spans="1:12" x14ac:dyDescent="0.35">
      <c r="A3" s="2" t="s">
        <v>1</v>
      </c>
      <c r="B3" t="s">
        <v>50</v>
      </c>
      <c r="D3" s="2" t="s">
        <v>48</v>
      </c>
      <c r="E3" t="s">
        <v>50</v>
      </c>
      <c r="G3" s="2" t="s">
        <v>48</v>
      </c>
      <c r="H3" t="s">
        <v>50</v>
      </c>
    </row>
    <row r="4" spans="1:12" x14ac:dyDescent="0.35">
      <c r="A4" s="3" t="s">
        <v>24</v>
      </c>
      <c r="B4" s="12">
        <v>7492569</v>
      </c>
      <c r="D4" s="3" t="s">
        <v>20</v>
      </c>
      <c r="E4" s="12">
        <v>3411818</v>
      </c>
      <c r="G4" s="3" t="s">
        <v>34</v>
      </c>
      <c r="H4" s="12">
        <v>4046530</v>
      </c>
    </row>
    <row r="5" spans="1:12" x14ac:dyDescent="0.35">
      <c r="A5" s="3" t="s">
        <v>8</v>
      </c>
      <c r="B5" s="12">
        <v>10716184</v>
      </c>
      <c r="D5" s="3" t="s">
        <v>17</v>
      </c>
      <c r="E5" s="12">
        <v>4666911</v>
      </c>
      <c r="G5" s="3" t="s">
        <v>35</v>
      </c>
      <c r="H5" s="12">
        <v>3464433</v>
      </c>
      <c r="K5" s="4" t="s">
        <v>44</v>
      </c>
      <c r="L5" s="5">
        <f>GETPIVOTDATA("Profit",$G$16)</f>
        <v>1532557</v>
      </c>
    </row>
    <row r="6" spans="1:12" x14ac:dyDescent="0.35">
      <c r="A6" s="3" t="s">
        <v>21</v>
      </c>
      <c r="B6" s="12">
        <v>8149763</v>
      </c>
      <c r="D6" s="3" t="s">
        <v>26</v>
      </c>
      <c r="E6" s="12">
        <v>4615631</v>
      </c>
      <c r="G6" s="3" t="s">
        <v>36</v>
      </c>
      <c r="H6" s="12">
        <v>3715672</v>
      </c>
      <c r="K6" s="4" t="s">
        <v>45</v>
      </c>
      <c r="L6" s="5">
        <f>GETPIVOTDATA("Total Sales",$A$3)</f>
        <v>37227091</v>
      </c>
    </row>
    <row r="7" spans="1:12" x14ac:dyDescent="0.35">
      <c r="A7" s="3" t="s">
        <v>12</v>
      </c>
      <c r="B7" s="12">
        <v>10868575</v>
      </c>
      <c r="D7" s="3" t="s">
        <v>30</v>
      </c>
      <c r="E7" s="12">
        <v>4302479</v>
      </c>
      <c r="G7" s="3" t="s">
        <v>37</v>
      </c>
      <c r="H7" s="12">
        <v>3300867</v>
      </c>
      <c r="K7" s="4" t="s">
        <v>51</v>
      </c>
      <c r="L7" s="5">
        <f>GETPIVOTDATA("Quantity",$D$16)</f>
        <v>1479</v>
      </c>
    </row>
    <row r="8" spans="1:12" x14ac:dyDescent="0.35">
      <c r="A8" s="3" t="s">
        <v>33</v>
      </c>
      <c r="B8" s="12">
        <v>37227091</v>
      </c>
      <c r="D8" s="3" t="s">
        <v>28</v>
      </c>
      <c r="E8" s="12">
        <v>4820115</v>
      </c>
      <c r="G8" s="3" t="s">
        <v>38</v>
      </c>
      <c r="H8" s="12">
        <v>4461095</v>
      </c>
    </row>
    <row r="9" spans="1:12" x14ac:dyDescent="0.35">
      <c r="D9" s="3" t="s">
        <v>25</v>
      </c>
      <c r="E9" s="12">
        <v>4905424</v>
      </c>
      <c r="G9" s="3" t="s">
        <v>39</v>
      </c>
      <c r="H9" s="12">
        <v>3463484</v>
      </c>
    </row>
    <row r="10" spans="1:12" x14ac:dyDescent="0.35">
      <c r="D10" s="3" t="s">
        <v>10</v>
      </c>
      <c r="E10" s="12">
        <v>5906260</v>
      </c>
      <c r="G10" s="3" t="s">
        <v>40</v>
      </c>
      <c r="H10" s="12">
        <v>3323401</v>
      </c>
    </row>
    <row r="11" spans="1:12" x14ac:dyDescent="0.35">
      <c r="A11" s="2" t="s">
        <v>2</v>
      </c>
      <c r="B11" t="s">
        <v>50</v>
      </c>
      <c r="D11" s="3" t="s">
        <v>14</v>
      </c>
      <c r="E11" s="12">
        <v>4598453</v>
      </c>
      <c r="G11" s="3" t="s">
        <v>41</v>
      </c>
      <c r="H11" s="12">
        <v>4289705</v>
      </c>
    </row>
    <row r="12" spans="1:12" x14ac:dyDescent="0.35">
      <c r="A12" s="3" t="s">
        <v>9</v>
      </c>
      <c r="B12" s="12">
        <v>7639824</v>
      </c>
      <c r="D12" s="3" t="s">
        <v>33</v>
      </c>
      <c r="E12" s="12">
        <v>37227091</v>
      </c>
      <c r="G12" s="3" t="s">
        <v>42</v>
      </c>
      <c r="H12" s="12">
        <v>3898469</v>
      </c>
    </row>
    <row r="13" spans="1:12" x14ac:dyDescent="0.35">
      <c r="A13" s="3" t="s">
        <v>13</v>
      </c>
      <c r="B13" s="12">
        <v>7896972</v>
      </c>
      <c r="G13" s="3" t="s">
        <v>43</v>
      </c>
      <c r="H13" s="12">
        <v>3263435</v>
      </c>
    </row>
    <row r="14" spans="1:12" x14ac:dyDescent="0.35">
      <c r="A14" s="3" t="s">
        <v>19</v>
      </c>
      <c r="B14" s="12">
        <v>12943334</v>
      </c>
      <c r="G14" s="3" t="s">
        <v>33</v>
      </c>
      <c r="H14" s="12">
        <v>37227091</v>
      </c>
    </row>
    <row r="15" spans="1:12" x14ac:dyDescent="0.35">
      <c r="A15" s="3" t="s">
        <v>16</v>
      </c>
      <c r="B15" s="12">
        <v>8746961</v>
      </c>
    </row>
    <row r="16" spans="1:12" x14ac:dyDescent="0.35">
      <c r="A16" s="3" t="s">
        <v>33</v>
      </c>
      <c r="B16" s="12">
        <v>37227091</v>
      </c>
      <c r="D16" s="2" t="s">
        <v>1</v>
      </c>
      <c r="E16" t="s">
        <v>46</v>
      </c>
      <c r="G16" s="2" t="s">
        <v>1</v>
      </c>
      <c r="H16" t="s">
        <v>47</v>
      </c>
    </row>
    <row r="17" spans="4:8" x14ac:dyDescent="0.35">
      <c r="D17" s="3" t="s">
        <v>24</v>
      </c>
      <c r="E17" s="12">
        <v>307</v>
      </c>
      <c r="G17" s="3" t="s">
        <v>24</v>
      </c>
      <c r="H17" s="12">
        <v>317371.19999999984</v>
      </c>
    </row>
    <row r="18" spans="4:8" x14ac:dyDescent="0.35">
      <c r="D18" s="3" t="s">
        <v>8</v>
      </c>
      <c r="E18" s="12">
        <v>393</v>
      </c>
      <c r="G18" s="3" t="s">
        <v>8</v>
      </c>
      <c r="H18" s="12">
        <v>415591.40000000008</v>
      </c>
    </row>
    <row r="19" spans="4:8" x14ac:dyDescent="0.35">
      <c r="D19" s="3" t="s">
        <v>21</v>
      </c>
      <c r="E19" s="12">
        <v>363</v>
      </c>
      <c r="G19" s="3" t="s">
        <v>21</v>
      </c>
      <c r="H19" s="12">
        <v>369859.39999999997</v>
      </c>
    </row>
    <row r="20" spans="4:8" x14ac:dyDescent="0.35">
      <c r="D20" s="3" t="s">
        <v>12</v>
      </c>
      <c r="E20" s="12">
        <v>416</v>
      </c>
      <c r="G20" s="3" t="s">
        <v>12</v>
      </c>
      <c r="H20" s="12">
        <v>429735.00000000017</v>
      </c>
    </row>
    <row r="21" spans="4:8" x14ac:dyDescent="0.35">
      <c r="D21" s="3" t="s">
        <v>33</v>
      </c>
      <c r="E21" s="12">
        <v>1479</v>
      </c>
      <c r="G21" s="3" t="s">
        <v>33</v>
      </c>
      <c r="H21" s="12">
        <v>1532557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86EF-FD51-424A-B59A-25D498CBF5A2}">
  <dimension ref="A1"/>
  <sheetViews>
    <sheetView showGridLines="0" zoomScale="68" zoomScaleNormal="55" workbookViewId="0">
      <selection activeCell="D4" sqref="D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D22DA-9CA0-4653-8651-FE94F2C7E97A}">
  <dimension ref="A2:K25"/>
  <sheetViews>
    <sheetView tabSelected="1" workbookViewId="0">
      <selection activeCell="J11" sqref="J11"/>
    </sheetView>
  </sheetViews>
  <sheetFormatPr defaultRowHeight="14.5" x14ac:dyDescent="0.35"/>
  <cols>
    <col min="1" max="1" width="10.7265625" bestFit="1" customWidth="1"/>
    <col min="2" max="2" width="14.54296875" bestFit="1" customWidth="1"/>
    <col min="4" max="4" width="15.36328125" bestFit="1" customWidth="1"/>
    <col min="5" max="5" width="16.08984375" bestFit="1" customWidth="1"/>
    <col min="7" max="7" width="11.36328125" bestFit="1" customWidth="1"/>
    <col min="8" max="8" width="16.08984375" bestFit="1" customWidth="1"/>
    <col min="10" max="10" width="12.54296875" bestFit="1" customWidth="1"/>
    <col min="11" max="11" width="8.81640625" bestFit="1" customWidth="1"/>
  </cols>
  <sheetData>
    <row r="2" spans="1:11" x14ac:dyDescent="0.35">
      <c r="A2" s="2" t="s">
        <v>52</v>
      </c>
      <c r="B2" t="s">
        <v>50</v>
      </c>
      <c r="D2" s="2" t="s">
        <v>56</v>
      </c>
      <c r="E2" t="s">
        <v>50</v>
      </c>
      <c r="G2" s="2" t="s">
        <v>48</v>
      </c>
      <c r="H2" t="s">
        <v>50</v>
      </c>
    </row>
    <row r="3" spans="1:11" x14ac:dyDescent="0.35">
      <c r="A3" s="3" t="s">
        <v>24</v>
      </c>
      <c r="B3" s="12">
        <v>7492569</v>
      </c>
      <c r="D3" s="3" t="s">
        <v>9</v>
      </c>
      <c r="E3" s="12">
        <v>7639824</v>
      </c>
      <c r="G3" s="3" t="s">
        <v>20</v>
      </c>
      <c r="H3" s="12">
        <v>3411818</v>
      </c>
    </row>
    <row r="4" spans="1:11" x14ac:dyDescent="0.35">
      <c r="A4" s="3" t="s">
        <v>8</v>
      </c>
      <c r="B4" s="12">
        <v>10716184</v>
      </c>
      <c r="D4" s="3" t="s">
        <v>13</v>
      </c>
      <c r="E4" s="12">
        <v>7896972</v>
      </c>
      <c r="G4" s="3" t="s">
        <v>17</v>
      </c>
      <c r="H4" s="12">
        <v>4666911</v>
      </c>
    </row>
    <row r="5" spans="1:11" x14ac:dyDescent="0.35">
      <c r="A5" s="3" t="s">
        <v>21</v>
      </c>
      <c r="B5" s="12">
        <v>8149763</v>
      </c>
      <c r="D5" s="3" t="s">
        <v>19</v>
      </c>
      <c r="E5" s="12">
        <v>12943334</v>
      </c>
      <c r="G5" s="3" t="s">
        <v>26</v>
      </c>
      <c r="H5" s="12">
        <v>4615631</v>
      </c>
    </row>
    <row r="6" spans="1:11" x14ac:dyDescent="0.35">
      <c r="A6" s="3" t="s">
        <v>12</v>
      </c>
      <c r="B6" s="12">
        <v>10868575</v>
      </c>
      <c r="D6" s="3" t="s">
        <v>16</v>
      </c>
      <c r="E6" s="12">
        <v>8746961</v>
      </c>
      <c r="G6" s="3" t="s">
        <v>30</v>
      </c>
      <c r="H6" s="12">
        <v>4302479</v>
      </c>
      <c r="J6" s="6" t="s">
        <v>53</v>
      </c>
      <c r="K6" s="7">
        <f>GETPIVOTDATA("Total Sales",$A$2)</f>
        <v>37227091</v>
      </c>
    </row>
    <row r="7" spans="1:11" x14ac:dyDescent="0.35">
      <c r="A7" s="3" t="s">
        <v>33</v>
      </c>
      <c r="B7" s="12">
        <v>37227091</v>
      </c>
      <c r="D7" s="3" t="s">
        <v>33</v>
      </c>
      <c r="E7" s="12">
        <v>37227091</v>
      </c>
      <c r="G7" s="3" t="s">
        <v>28</v>
      </c>
      <c r="H7" s="12">
        <v>4820115</v>
      </c>
      <c r="J7" s="8" t="s">
        <v>54</v>
      </c>
      <c r="K7" s="9">
        <f>GETPIVOTDATA("Quantity",$A$9)</f>
        <v>1479</v>
      </c>
    </row>
    <row r="8" spans="1:11" x14ac:dyDescent="0.35">
      <c r="G8" s="3" t="s">
        <v>25</v>
      </c>
      <c r="H8" s="12">
        <v>4905424</v>
      </c>
      <c r="J8" s="10" t="s">
        <v>55</v>
      </c>
      <c r="K8" s="11">
        <f>GETPIVOTDATA("Profit",$A$16)</f>
        <v>1532557</v>
      </c>
    </row>
    <row r="9" spans="1:11" x14ac:dyDescent="0.35">
      <c r="A9" s="2" t="s">
        <v>52</v>
      </c>
      <c r="B9" t="s">
        <v>46</v>
      </c>
      <c r="D9" s="2" t="s">
        <v>48</v>
      </c>
      <c r="E9" t="s">
        <v>50</v>
      </c>
      <c r="G9" s="3" t="s">
        <v>10</v>
      </c>
      <c r="H9" s="12">
        <v>5906260</v>
      </c>
    </row>
    <row r="10" spans="1:11" x14ac:dyDescent="0.35">
      <c r="A10" s="3" t="s">
        <v>24</v>
      </c>
      <c r="B10" s="12">
        <v>307</v>
      </c>
      <c r="D10" s="3" t="s">
        <v>34</v>
      </c>
      <c r="E10" s="12">
        <v>4046530</v>
      </c>
      <c r="G10" s="3" t="s">
        <v>14</v>
      </c>
      <c r="H10" s="12">
        <v>4598453</v>
      </c>
    </row>
    <row r="11" spans="1:11" x14ac:dyDescent="0.35">
      <c r="A11" s="3" t="s">
        <v>8</v>
      </c>
      <c r="B11" s="12">
        <v>393</v>
      </c>
      <c r="D11" s="3" t="s">
        <v>35</v>
      </c>
      <c r="E11" s="12">
        <v>3464433</v>
      </c>
      <c r="G11" s="3" t="s">
        <v>33</v>
      </c>
      <c r="H11" s="12">
        <v>37227091</v>
      </c>
    </row>
    <row r="12" spans="1:11" x14ac:dyDescent="0.35">
      <c r="A12" s="3" t="s">
        <v>21</v>
      </c>
      <c r="B12" s="12">
        <v>363</v>
      </c>
      <c r="D12" s="3" t="s">
        <v>36</v>
      </c>
      <c r="E12" s="12">
        <v>3715672</v>
      </c>
    </row>
    <row r="13" spans="1:11" x14ac:dyDescent="0.35">
      <c r="A13" s="3" t="s">
        <v>12</v>
      </c>
      <c r="B13" s="12">
        <v>416</v>
      </c>
      <c r="D13" s="3" t="s">
        <v>37</v>
      </c>
      <c r="E13" s="12">
        <v>3300867</v>
      </c>
    </row>
    <row r="14" spans="1:11" x14ac:dyDescent="0.35">
      <c r="A14" s="3" t="s">
        <v>33</v>
      </c>
      <c r="B14" s="12">
        <v>1479</v>
      </c>
      <c r="D14" s="3" t="s">
        <v>38</v>
      </c>
      <c r="E14" s="12">
        <v>4461095</v>
      </c>
      <c r="G14" s="2" t="s">
        <v>57</v>
      </c>
      <c r="H14" t="s">
        <v>50</v>
      </c>
    </row>
    <row r="15" spans="1:11" x14ac:dyDescent="0.35">
      <c r="D15" s="3" t="s">
        <v>39</v>
      </c>
      <c r="E15" s="12">
        <v>3463484</v>
      </c>
      <c r="G15" s="3" t="s">
        <v>34</v>
      </c>
      <c r="H15" s="12">
        <v>4046530</v>
      </c>
    </row>
    <row r="16" spans="1:11" x14ac:dyDescent="0.35">
      <c r="A16" s="2" t="s">
        <v>52</v>
      </c>
      <c r="B16" t="s">
        <v>47</v>
      </c>
      <c r="D16" s="3" t="s">
        <v>40</v>
      </c>
      <c r="E16" s="12">
        <v>3323401</v>
      </c>
      <c r="G16" s="3" t="s">
        <v>35</v>
      </c>
      <c r="H16" s="12">
        <v>3464433</v>
      </c>
    </row>
    <row r="17" spans="1:8" x14ac:dyDescent="0.35">
      <c r="A17" s="3" t="s">
        <v>24</v>
      </c>
      <c r="B17" s="12">
        <v>317371.19999999984</v>
      </c>
      <c r="D17" s="3" t="s">
        <v>41</v>
      </c>
      <c r="E17" s="12">
        <v>4289705</v>
      </c>
      <c r="G17" s="3" t="s">
        <v>36</v>
      </c>
      <c r="H17" s="12">
        <v>3715672</v>
      </c>
    </row>
    <row r="18" spans="1:8" x14ac:dyDescent="0.35">
      <c r="A18" s="3" t="s">
        <v>8</v>
      </c>
      <c r="B18" s="12">
        <v>415591.40000000008</v>
      </c>
      <c r="D18" s="3" t="s">
        <v>42</v>
      </c>
      <c r="E18" s="12">
        <v>3898469</v>
      </c>
      <c r="G18" s="3" t="s">
        <v>37</v>
      </c>
      <c r="H18" s="12">
        <v>3300867</v>
      </c>
    </row>
    <row r="19" spans="1:8" x14ac:dyDescent="0.35">
      <c r="A19" s="3" t="s">
        <v>21</v>
      </c>
      <c r="B19" s="12">
        <v>369859.39999999997</v>
      </c>
      <c r="D19" s="3" t="s">
        <v>43</v>
      </c>
      <c r="E19" s="12">
        <v>3263435</v>
      </c>
      <c r="G19" s="3" t="s">
        <v>38</v>
      </c>
      <c r="H19" s="12">
        <v>4461095</v>
      </c>
    </row>
    <row r="20" spans="1:8" x14ac:dyDescent="0.35">
      <c r="A20" s="3" t="s">
        <v>12</v>
      </c>
      <c r="B20" s="12">
        <v>429735.00000000017</v>
      </c>
      <c r="D20" s="3" t="s">
        <v>33</v>
      </c>
      <c r="E20" s="12">
        <v>37227091</v>
      </c>
      <c r="G20" s="3" t="s">
        <v>39</v>
      </c>
      <c r="H20" s="12">
        <v>3463484</v>
      </c>
    </row>
    <row r="21" spans="1:8" x14ac:dyDescent="0.35">
      <c r="A21" s="3" t="s">
        <v>33</v>
      </c>
      <c r="B21" s="12">
        <v>1532557</v>
      </c>
      <c r="G21" s="3" t="s">
        <v>40</v>
      </c>
      <c r="H21" s="12">
        <v>3323401</v>
      </c>
    </row>
    <row r="22" spans="1:8" x14ac:dyDescent="0.35">
      <c r="G22" s="3" t="s">
        <v>41</v>
      </c>
      <c r="H22" s="12">
        <v>4289705</v>
      </c>
    </row>
    <row r="23" spans="1:8" x14ac:dyDescent="0.35">
      <c r="G23" s="3" t="s">
        <v>42</v>
      </c>
      <c r="H23" s="12">
        <v>3898469</v>
      </c>
    </row>
    <row r="24" spans="1:8" x14ac:dyDescent="0.35">
      <c r="G24" s="3" t="s">
        <v>43</v>
      </c>
      <c r="H24" s="12">
        <v>3263435</v>
      </c>
    </row>
    <row r="25" spans="1:8" x14ac:dyDescent="0.35">
      <c r="G25" s="3" t="s">
        <v>33</v>
      </c>
      <c r="H25" s="12">
        <v>37227091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I301"/>
  <sheetViews>
    <sheetView topLeftCell="A2" zoomScale="66" zoomScaleNormal="145" workbookViewId="0">
      <selection sqref="A1:I301"/>
    </sheetView>
  </sheetViews>
  <sheetFormatPr defaultRowHeight="14.5" x14ac:dyDescent="0.35"/>
  <cols>
    <col min="1" max="1" width="11.81640625" bestFit="1" customWidth="1"/>
    <col min="2" max="2" width="9.453125" bestFit="1" customWidth="1"/>
    <col min="3" max="3" width="16.54296875" bestFit="1" customWidth="1"/>
    <col min="4" max="4" width="12.1796875" bestFit="1" customWidth="1"/>
    <col min="5" max="5" width="11" bestFit="1" customWidth="1"/>
    <col min="6" max="6" width="12" bestFit="1" customWidth="1"/>
    <col min="7" max="7" width="10.7265625" bestFit="1" customWidth="1"/>
    <col min="8" max="8" width="12.7265625" bestFit="1" customWidth="1"/>
    <col min="9" max="9" width="8.26953125" bestFit="1" customWidth="1"/>
  </cols>
  <sheetData>
    <row r="1" spans="1:9" x14ac:dyDescent="0.35">
      <c r="A1" t="s">
        <v>0</v>
      </c>
      <c r="B1" t="s">
        <v>1</v>
      </c>
      <c r="C1" t="s">
        <v>2</v>
      </c>
      <c r="D1" t="s">
        <v>3</v>
      </c>
      <c r="E1" t="s">
        <v>4</v>
      </c>
      <c r="F1" t="s">
        <v>49</v>
      </c>
      <c r="G1" t="s">
        <v>5</v>
      </c>
      <c r="H1" t="s">
        <v>45</v>
      </c>
      <c r="I1" t="s">
        <v>6</v>
      </c>
    </row>
    <row r="2" spans="1:9" x14ac:dyDescent="0.35">
      <c r="A2" t="s">
        <v>7</v>
      </c>
      <c r="B2" t="s">
        <v>8</v>
      </c>
      <c r="C2" t="s">
        <v>9</v>
      </c>
      <c r="D2" t="s">
        <v>10</v>
      </c>
      <c r="E2">
        <v>1</v>
      </c>
      <c r="F2">
        <v>13875</v>
      </c>
      <c r="G2" s="1">
        <v>44927</v>
      </c>
      <c r="H2">
        <v>13875</v>
      </c>
      <c r="I2">
        <v>2775</v>
      </c>
    </row>
    <row r="3" spans="1:9" x14ac:dyDescent="0.35">
      <c r="A3" t="s">
        <v>11</v>
      </c>
      <c r="B3" t="s">
        <v>12</v>
      </c>
      <c r="C3" t="s">
        <v>13</v>
      </c>
      <c r="D3" t="s">
        <v>14</v>
      </c>
      <c r="E3">
        <v>6</v>
      </c>
      <c r="F3">
        <v>2622</v>
      </c>
      <c r="G3" s="1">
        <v>44928</v>
      </c>
      <c r="H3">
        <v>15732</v>
      </c>
      <c r="I3">
        <v>524.4</v>
      </c>
    </row>
    <row r="4" spans="1:9" x14ac:dyDescent="0.35">
      <c r="A4" t="s">
        <v>15</v>
      </c>
      <c r="B4" t="s">
        <v>8</v>
      </c>
      <c r="C4" t="s">
        <v>16</v>
      </c>
      <c r="D4" t="s">
        <v>17</v>
      </c>
      <c r="E4">
        <v>5</v>
      </c>
      <c r="F4">
        <v>49756</v>
      </c>
      <c r="G4" s="1">
        <v>44929</v>
      </c>
      <c r="H4">
        <v>248780</v>
      </c>
      <c r="I4">
        <v>9951.2000000000007</v>
      </c>
    </row>
    <row r="5" spans="1:9" x14ac:dyDescent="0.35">
      <c r="A5" t="s">
        <v>18</v>
      </c>
      <c r="B5" t="s">
        <v>8</v>
      </c>
      <c r="C5" t="s">
        <v>19</v>
      </c>
      <c r="D5" t="s">
        <v>20</v>
      </c>
      <c r="E5">
        <v>4</v>
      </c>
      <c r="F5">
        <v>41809</v>
      </c>
      <c r="G5" s="1">
        <v>44930</v>
      </c>
      <c r="H5">
        <v>167236</v>
      </c>
      <c r="I5">
        <v>8361.7999999999993</v>
      </c>
    </row>
    <row r="6" spans="1:9" x14ac:dyDescent="0.35">
      <c r="A6" t="s">
        <v>7</v>
      </c>
      <c r="B6" t="s">
        <v>21</v>
      </c>
      <c r="C6" t="s">
        <v>16</v>
      </c>
      <c r="D6" t="s">
        <v>17</v>
      </c>
      <c r="E6">
        <v>3</v>
      </c>
      <c r="F6">
        <v>17725</v>
      </c>
      <c r="G6" s="1">
        <v>44931</v>
      </c>
      <c r="H6">
        <v>53175</v>
      </c>
      <c r="I6">
        <v>3545</v>
      </c>
    </row>
    <row r="7" spans="1:9" x14ac:dyDescent="0.35">
      <c r="A7" t="s">
        <v>22</v>
      </c>
      <c r="B7" t="s">
        <v>8</v>
      </c>
      <c r="C7" t="s">
        <v>19</v>
      </c>
      <c r="D7" t="s">
        <v>10</v>
      </c>
      <c r="E7">
        <v>1</v>
      </c>
      <c r="F7">
        <v>41760</v>
      </c>
      <c r="G7" s="1">
        <v>44932</v>
      </c>
      <c r="H7">
        <v>41760</v>
      </c>
      <c r="I7">
        <v>8352</v>
      </c>
    </row>
    <row r="8" spans="1:9" x14ac:dyDescent="0.35">
      <c r="A8" t="s">
        <v>23</v>
      </c>
      <c r="B8" t="s">
        <v>24</v>
      </c>
      <c r="C8" t="s">
        <v>9</v>
      </c>
      <c r="D8" t="s">
        <v>10</v>
      </c>
      <c r="E8">
        <v>6</v>
      </c>
      <c r="F8">
        <v>16646</v>
      </c>
      <c r="G8" s="1">
        <v>44933</v>
      </c>
      <c r="H8">
        <v>99876</v>
      </c>
      <c r="I8">
        <v>3329.2</v>
      </c>
    </row>
    <row r="9" spans="1:9" x14ac:dyDescent="0.35">
      <c r="A9" t="s">
        <v>7</v>
      </c>
      <c r="B9" t="s">
        <v>24</v>
      </c>
      <c r="C9" t="s">
        <v>19</v>
      </c>
      <c r="D9" t="s">
        <v>10</v>
      </c>
      <c r="E9">
        <v>2</v>
      </c>
      <c r="F9">
        <v>18029</v>
      </c>
      <c r="G9" s="1">
        <v>44934</v>
      </c>
      <c r="H9">
        <v>36058</v>
      </c>
      <c r="I9">
        <v>3605.8</v>
      </c>
    </row>
    <row r="10" spans="1:9" x14ac:dyDescent="0.35">
      <c r="A10" t="s">
        <v>15</v>
      </c>
      <c r="B10" t="s">
        <v>12</v>
      </c>
      <c r="C10" t="s">
        <v>9</v>
      </c>
      <c r="D10" t="s">
        <v>25</v>
      </c>
      <c r="E10">
        <v>8</v>
      </c>
      <c r="F10">
        <v>30402</v>
      </c>
      <c r="G10" s="1">
        <v>44935</v>
      </c>
      <c r="H10">
        <v>243216</v>
      </c>
      <c r="I10">
        <v>6080.4</v>
      </c>
    </row>
    <row r="11" spans="1:9" x14ac:dyDescent="0.35">
      <c r="A11" t="s">
        <v>18</v>
      </c>
      <c r="B11" t="s">
        <v>8</v>
      </c>
      <c r="C11" t="s">
        <v>19</v>
      </c>
      <c r="D11" t="s">
        <v>25</v>
      </c>
      <c r="E11">
        <v>5</v>
      </c>
      <c r="F11">
        <v>5263</v>
      </c>
      <c r="G11" s="1">
        <v>44936</v>
      </c>
      <c r="H11">
        <v>26315</v>
      </c>
      <c r="I11">
        <v>1052.5999999999999</v>
      </c>
    </row>
    <row r="12" spans="1:9" x14ac:dyDescent="0.35">
      <c r="A12" t="s">
        <v>11</v>
      </c>
      <c r="B12" t="s">
        <v>12</v>
      </c>
      <c r="C12" t="s">
        <v>9</v>
      </c>
      <c r="D12" t="s">
        <v>26</v>
      </c>
      <c r="E12">
        <v>7</v>
      </c>
      <c r="F12">
        <v>31987</v>
      </c>
      <c r="G12" s="1">
        <v>44937</v>
      </c>
      <c r="H12">
        <v>223909</v>
      </c>
      <c r="I12">
        <v>6397.4</v>
      </c>
    </row>
    <row r="13" spans="1:9" x14ac:dyDescent="0.35">
      <c r="A13" t="s">
        <v>15</v>
      </c>
      <c r="B13" t="s">
        <v>24</v>
      </c>
      <c r="C13" t="s">
        <v>19</v>
      </c>
      <c r="D13" t="s">
        <v>26</v>
      </c>
      <c r="E13">
        <v>2</v>
      </c>
      <c r="F13">
        <v>47828</v>
      </c>
      <c r="G13" s="1">
        <v>44938</v>
      </c>
      <c r="H13">
        <v>95656</v>
      </c>
      <c r="I13">
        <v>9565.6</v>
      </c>
    </row>
    <row r="14" spans="1:9" x14ac:dyDescent="0.35">
      <c r="A14" t="s">
        <v>15</v>
      </c>
      <c r="B14" t="s">
        <v>8</v>
      </c>
      <c r="C14" t="s">
        <v>13</v>
      </c>
      <c r="D14" t="s">
        <v>10</v>
      </c>
      <c r="E14">
        <v>8</v>
      </c>
      <c r="F14">
        <v>48924</v>
      </c>
      <c r="G14" s="1">
        <v>44939</v>
      </c>
      <c r="H14">
        <v>391392</v>
      </c>
      <c r="I14">
        <v>9784.7999999999993</v>
      </c>
    </row>
    <row r="15" spans="1:9" x14ac:dyDescent="0.35">
      <c r="A15" t="s">
        <v>23</v>
      </c>
      <c r="B15" t="s">
        <v>8</v>
      </c>
      <c r="C15" t="s">
        <v>19</v>
      </c>
      <c r="D15" t="s">
        <v>14</v>
      </c>
      <c r="E15">
        <v>2</v>
      </c>
      <c r="F15">
        <v>9646</v>
      </c>
      <c r="G15" s="1">
        <v>44940</v>
      </c>
      <c r="H15">
        <v>19292</v>
      </c>
      <c r="I15">
        <v>1929.2</v>
      </c>
    </row>
    <row r="16" spans="1:9" x14ac:dyDescent="0.35">
      <c r="A16" t="s">
        <v>27</v>
      </c>
      <c r="B16" t="s">
        <v>12</v>
      </c>
      <c r="C16" t="s">
        <v>19</v>
      </c>
      <c r="D16" t="s">
        <v>28</v>
      </c>
      <c r="E16">
        <v>4</v>
      </c>
      <c r="F16">
        <v>28529</v>
      </c>
      <c r="G16" s="1">
        <v>44941</v>
      </c>
      <c r="H16">
        <v>114116</v>
      </c>
      <c r="I16">
        <v>5705.8</v>
      </c>
    </row>
    <row r="17" spans="1:9" x14ac:dyDescent="0.35">
      <c r="A17" t="s">
        <v>18</v>
      </c>
      <c r="B17" t="s">
        <v>24</v>
      </c>
      <c r="C17" t="s">
        <v>13</v>
      </c>
      <c r="D17" t="s">
        <v>25</v>
      </c>
      <c r="E17">
        <v>1</v>
      </c>
      <c r="F17">
        <v>12664</v>
      </c>
      <c r="G17" s="1">
        <v>44942</v>
      </c>
      <c r="H17">
        <v>12664</v>
      </c>
      <c r="I17">
        <v>2532.8000000000002</v>
      </c>
    </row>
    <row r="18" spans="1:9" x14ac:dyDescent="0.35">
      <c r="A18" t="s">
        <v>29</v>
      </c>
      <c r="B18" t="s">
        <v>8</v>
      </c>
      <c r="C18" t="s">
        <v>16</v>
      </c>
      <c r="D18" t="s">
        <v>14</v>
      </c>
      <c r="E18">
        <v>5</v>
      </c>
      <c r="F18">
        <v>36737</v>
      </c>
      <c r="G18" s="1">
        <v>44943</v>
      </c>
      <c r="H18">
        <v>183685</v>
      </c>
      <c r="I18">
        <v>7347.4</v>
      </c>
    </row>
    <row r="19" spans="1:9" x14ac:dyDescent="0.35">
      <c r="A19" t="s">
        <v>15</v>
      </c>
      <c r="B19" t="s">
        <v>12</v>
      </c>
      <c r="C19" t="s">
        <v>16</v>
      </c>
      <c r="D19" t="s">
        <v>30</v>
      </c>
      <c r="E19">
        <v>9</v>
      </c>
      <c r="F19">
        <v>36796</v>
      </c>
      <c r="G19" s="1">
        <v>44944</v>
      </c>
      <c r="H19">
        <v>331164</v>
      </c>
      <c r="I19">
        <v>7359.2</v>
      </c>
    </row>
    <row r="20" spans="1:9" x14ac:dyDescent="0.35">
      <c r="A20" t="s">
        <v>27</v>
      </c>
      <c r="B20" t="s">
        <v>24</v>
      </c>
      <c r="C20" t="s">
        <v>19</v>
      </c>
      <c r="D20" t="s">
        <v>25</v>
      </c>
      <c r="E20">
        <v>1</v>
      </c>
      <c r="F20">
        <v>25027</v>
      </c>
      <c r="G20" s="1">
        <v>44945</v>
      </c>
      <c r="H20">
        <v>25027</v>
      </c>
      <c r="I20">
        <v>5005.3999999999996</v>
      </c>
    </row>
    <row r="21" spans="1:9" x14ac:dyDescent="0.35">
      <c r="A21" t="s">
        <v>29</v>
      </c>
      <c r="B21" t="s">
        <v>12</v>
      </c>
      <c r="C21" t="s">
        <v>13</v>
      </c>
      <c r="D21" t="s">
        <v>25</v>
      </c>
      <c r="E21">
        <v>9</v>
      </c>
      <c r="F21">
        <v>30373</v>
      </c>
      <c r="G21" s="1">
        <v>44946</v>
      </c>
      <c r="H21">
        <v>273357</v>
      </c>
      <c r="I21">
        <v>6074.6</v>
      </c>
    </row>
    <row r="22" spans="1:9" x14ac:dyDescent="0.35">
      <c r="A22" t="s">
        <v>18</v>
      </c>
      <c r="B22" t="s">
        <v>21</v>
      </c>
      <c r="C22" t="s">
        <v>19</v>
      </c>
      <c r="D22" t="s">
        <v>26</v>
      </c>
      <c r="E22">
        <v>8</v>
      </c>
      <c r="F22">
        <v>37397</v>
      </c>
      <c r="G22" s="1">
        <v>44947</v>
      </c>
      <c r="H22">
        <v>299176</v>
      </c>
      <c r="I22">
        <v>7479.4</v>
      </c>
    </row>
    <row r="23" spans="1:9" x14ac:dyDescent="0.35">
      <c r="A23" t="s">
        <v>31</v>
      </c>
      <c r="B23" t="s">
        <v>8</v>
      </c>
      <c r="C23" t="s">
        <v>9</v>
      </c>
      <c r="D23" t="s">
        <v>28</v>
      </c>
      <c r="E23">
        <v>6</v>
      </c>
      <c r="F23">
        <v>21609</v>
      </c>
      <c r="G23" s="1">
        <v>44948</v>
      </c>
      <c r="H23">
        <v>129654</v>
      </c>
      <c r="I23">
        <v>4321.8</v>
      </c>
    </row>
    <row r="24" spans="1:9" x14ac:dyDescent="0.35">
      <c r="A24" t="s">
        <v>22</v>
      </c>
      <c r="B24" t="s">
        <v>21</v>
      </c>
      <c r="C24" t="s">
        <v>9</v>
      </c>
      <c r="D24" t="s">
        <v>28</v>
      </c>
      <c r="E24">
        <v>7</v>
      </c>
      <c r="F24">
        <v>36835</v>
      </c>
      <c r="G24" s="1">
        <v>44949</v>
      </c>
      <c r="H24">
        <v>257845</v>
      </c>
      <c r="I24">
        <v>7367</v>
      </c>
    </row>
    <row r="25" spans="1:9" x14ac:dyDescent="0.35">
      <c r="A25" t="s">
        <v>27</v>
      </c>
      <c r="B25" t="s">
        <v>24</v>
      </c>
      <c r="C25" t="s">
        <v>19</v>
      </c>
      <c r="D25" t="s">
        <v>20</v>
      </c>
      <c r="E25">
        <v>3</v>
      </c>
      <c r="F25">
        <v>39709</v>
      </c>
      <c r="G25" s="1">
        <v>44950</v>
      </c>
      <c r="H25">
        <v>119127</v>
      </c>
      <c r="I25">
        <v>7941.8</v>
      </c>
    </row>
    <row r="26" spans="1:9" x14ac:dyDescent="0.35">
      <c r="A26" t="s">
        <v>32</v>
      </c>
      <c r="B26" t="s">
        <v>21</v>
      </c>
      <c r="C26" t="s">
        <v>16</v>
      </c>
      <c r="D26" t="s">
        <v>17</v>
      </c>
      <c r="E26">
        <v>1</v>
      </c>
      <c r="F26">
        <v>20250</v>
      </c>
      <c r="G26" s="1">
        <v>44951</v>
      </c>
      <c r="H26">
        <v>20250</v>
      </c>
      <c r="I26">
        <v>4050</v>
      </c>
    </row>
    <row r="27" spans="1:9" x14ac:dyDescent="0.35">
      <c r="A27" t="s">
        <v>31</v>
      </c>
      <c r="B27" t="s">
        <v>21</v>
      </c>
      <c r="C27" t="s">
        <v>16</v>
      </c>
      <c r="D27" t="s">
        <v>17</v>
      </c>
      <c r="E27">
        <v>5</v>
      </c>
      <c r="F27">
        <v>22172</v>
      </c>
      <c r="G27" s="1">
        <v>44952</v>
      </c>
      <c r="H27">
        <v>110860</v>
      </c>
      <c r="I27">
        <v>4434.3999999999996</v>
      </c>
    </row>
    <row r="28" spans="1:9" x14ac:dyDescent="0.35">
      <c r="A28" t="s">
        <v>22</v>
      </c>
      <c r="B28" t="s">
        <v>24</v>
      </c>
      <c r="C28" t="s">
        <v>19</v>
      </c>
      <c r="D28" t="s">
        <v>17</v>
      </c>
      <c r="E28">
        <v>2</v>
      </c>
      <c r="F28">
        <v>12555</v>
      </c>
      <c r="G28" s="1">
        <v>44953</v>
      </c>
      <c r="H28">
        <v>25110</v>
      </c>
      <c r="I28">
        <v>2511</v>
      </c>
    </row>
    <row r="29" spans="1:9" x14ac:dyDescent="0.35">
      <c r="A29" t="s">
        <v>23</v>
      </c>
      <c r="B29" t="s">
        <v>12</v>
      </c>
      <c r="C29" t="s">
        <v>19</v>
      </c>
      <c r="D29" t="s">
        <v>17</v>
      </c>
      <c r="E29">
        <v>5</v>
      </c>
      <c r="F29">
        <v>22874</v>
      </c>
      <c r="G29" s="1">
        <v>44954</v>
      </c>
      <c r="H29">
        <v>114370</v>
      </c>
      <c r="I29">
        <v>4574.8</v>
      </c>
    </row>
    <row r="30" spans="1:9" x14ac:dyDescent="0.35">
      <c r="A30" t="s">
        <v>7</v>
      </c>
      <c r="B30" t="s">
        <v>21</v>
      </c>
      <c r="C30" t="s">
        <v>9</v>
      </c>
      <c r="D30" t="s">
        <v>30</v>
      </c>
      <c r="E30">
        <v>8</v>
      </c>
      <c r="F30">
        <v>14081</v>
      </c>
      <c r="G30" s="1">
        <v>44955</v>
      </c>
      <c r="H30">
        <v>112648</v>
      </c>
      <c r="I30">
        <v>2816.2</v>
      </c>
    </row>
    <row r="31" spans="1:9" x14ac:dyDescent="0.35">
      <c r="A31" t="s">
        <v>11</v>
      </c>
      <c r="B31" t="s">
        <v>12</v>
      </c>
      <c r="C31" t="s">
        <v>16</v>
      </c>
      <c r="D31" t="s">
        <v>30</v>
      </c>
      <c r="E31">
        <v>9</v>
      </c>
      <c r="F31">
        <v>25063</v>
      </c>
      <c r="G31" s="1">
        <v>44956</v>
      </c>
      <c r="H31">
        <v>225567</v>
      </c>
      <c r="I31">
        <v>5012.6000000000004</v>
      </c>
    </row>
    <row r="32" spans="1:9" x14ac:dyDescent="0.35">
      <c r="A32" t="s">
        <v>32</v>
      </c>
      <c r="B32" t="s">
        <v>21</v>
      </c>
      <c r="C32" t="s">
        <v>19</v>
      </c>
      <c r="D32" t="s">
        <v>25</v>
      </c>
      <c r="E32">
        <v>2</v>
      </c>
      <c r="F32">
        <v>7819</v>
      </c>
      <c r="G32" s="1">
        <v>44957</v>
      </c>
      <c r="H32">
        <v>15638</v>
      </c>
      <c r="I32">
        <v>1563.8</v>
      </c>
    </row>
    <row r="33" spans="1:9" x14ac:dyDescent="0.35">
      <c r="A33" t="s">
        <v>23</v>
      </c>
      <c r="B33" t="s">
        <v>12</v>
      </c>
      <c r="C33" t="s">
        <v>9</v>
      </c>
      <c r="D33" t="s">
        <v>10</v>
      </c>
      <c r="E33">
        <v>3</v>
      </c>
      <c r="F33">
        <v>26712</v>
      </c>
      <c r="G33" s="1">
        <v>44958</v>
      </c>
      <c r="H33">
        <v>80136</v>
      </c>
      <c r="I33">
        <v>5342.4</v>
      </c>
    </row>
    <row r="34" spans="1:9" x14ac:dyDescent="0.35">
      <c r="A34" t="s">
        <v>18</v>
      </c>
      <c r="B34" t="s">
        <v>24</v>
      </c>
      <c r="C34" t="s">
        <v>16</v>
      </c>
      <c r="D34" t="s">
        <v>26</v>
      </c>
      <c r="E34">
        <v>3</v>
      </c>
      <c r="F34">
        <v>25762</v>
      </c>
      <c r="G34" s="1">
        <v>44959</v>
      </c>
      <c r="H34">
        <v>77286</v>
      </c>
      <c r="I34">
        <v>5152.3999999999996</v>
      </c>
    </row>
    <row r="35" spans="1:9" x14ac:dyDescent="0.35">
      <c r="A35" t="s">
        <v>23</v>
      </c>
      <c r="B35" t="s">
        <v>21</v>
      </c>
      <c r="C35" t="s">
        <v>13</v>
      </c>
      <c r="D35" t="s">
        <v>26</v>
      </c>
      <c r="E35">
        <v>1</v>
      </c>
      <c r="F35">
        <v>12046</v>
      </c>
      <c r="G35" s="1">
        <v>44960</v>
      </c>
      <c r="H35">
        <v>12046</v>
      </c>
      <c r="I35">
        <v>2409.1999999999998</v>
      </c>
    </row>
    <row r="36" spans="1:9" x14ac:dyDescent="0.35">
      <c r="A36" t="s">
        <v>7</v>
      </c>
      <c r="B36" t="s">
        <v>24</v>
      </c>
      <c r="C36" t="s">
        <v>9</v>
      </c>
      <c r="D36" t="s">
        <v>17</v>
      </c>
      <c r="E36">
        <v>8</v>
      </c>
      <c r="F36">
        <v>32463</v>
      </c>
      <c r="G36" s="1">
        <v>44961</v>
      </c>
      <c r="H36">
        <v>259704</v>
      </c>
      <c r="I36">
        <v>6492.6</v>
      </c>
    </row>
    <row r="37" spans="1:9" x14ac:dyDescent="0.35">
      <c r="A37" t="s">
        <v>18</v>
      </c>
      <c r="B37" t="s">
        <v>21</v>
      </c>
      <c r="C37" t="s">
        <v>16</v>
      </c>
      <c r="D37" t="s">
        <v>25</v>
      </c>
      <c r="E37">
        <v>6</v>
      </c>
      <c r="F37">
        <v>29769</v>
      </c>
      <c r="G37" s="1">
        <v>44962</v>
      </c>
      <c r="H37">
        <v>178614</v>
      </c>
      <c r="I37">
        <v>5953.8</v>
      </c>
    </row>
    <row r="38" spans="1:9" x14ac:dyDescent="0.35">
      <c r="A38" t="s">
        <v>32</v>
      </c>
      <c r="B38" t="s">
        <v>24</v>
      </c>
      <c r="C38" t="s">
        <v>16</v>
      </c>
      <c r="D38" t="s">
        <v>20</v>
      </c>
      <c r="E38">
        <v>8</v>
      </c>
      <c r="F38">
        <v>24150</v>
      </c>
      <c r="G38" s="1">
        <v>44963</v>
      </c>
      <c r="H38">
        <v>193200</v>
      </c>
      <c r="I38">
        <v>4830</v>
      </c>
    </row>
    <row r="39" spans="1:9" x14ac:dyDescent="0.35">
      <c r="A39" t="s">
        <v>7</v>
      </c>
      <c r="B39" t="s">
        <v>24</v>
      </c>
      <c r="C39" t="s">
        <v>9</v>
      </c>
      <c r="D39" t="s">
        <v>14</v>
      </c>
      <c r="E39">
        <v>9</v>
      </c>
      <c r="F39">
        <v>3711</v>
      </c>
      <c r="G39" s="1">
        <v>44964</v>
      </c>
      <c r="H39">
        <v>33399</v>
      </c>
      <c r="I39">
        <v>742.2</v>
      </c>
    </row>
    <row r="40" spans="1:9" x14ac:dyDescent="0.35">
      <c r="A40" t="s">
        <v>29</v>
      </c>
      <c r="B40" t="s">
        <v>21</v>
      </c>
      <c r="C40" t="s">
        <v>13</v>
      </c>
      <c r="D40" t="s">
        <v>10</v>
      </c>
      <c r="E40">
        <v>5</v>
      </c>
      <c r="F40">
        <v>5853</v>
      </c>
      <c r="G40" s="1">
        <v>44965</v>
      </c>
      <c r="H40">
        <v>29265</v>
      </c>
      <c r="I40">
        <v>1170.5999999999999</v>
      </c>
    </row>
    <row r="41" spans="1:9" x14ac:dyDescent="0.35">
      <c r="A41" t="s">
        <v>11</v>
      </c>
      <c r="B41" t="s">
        <v>21</v>
      </c>
      <c r="C41" t="s">
        <v>9</v>
      </c>
      <c r="D41" t="s">
        <v>25</v>
      </c>
      <c r="E41">
        <v>3</v>
      </c>
      <c r="F41">
        <v>30077</v>
      </c>
      <c r="G41" s="1">
        <v>44966</v>
      </c>
      <c r="H41">
        <v>90231</v>
      </c>
      <c r="I41">
        <v>6015.4</v>
      </c>
    </row>
    <row r="42" spans="1:9" x14ac:dyDescent="0.35">
      <c r="A42" t="s">
        <v>32</v>
      </c>
      <c r="B42" t="s">
        <v>21</v>
      </c>
      <c r="C42" t="s">
        <v>16</v>
      </c>
      <c r="D42" t="s">
        <v>10</v>
      </c>
      <c r="E42">
        <v>5</v>
      </c>
      <c r="F42">
        <v>24863</v>
      </c>
      <c r="G42" s="1">
        <v>44967</v>
      </c>
      <c r="H42">
        <v>124315</v>
      </c>
      <c r="I42">
        <v>4972.6000000000004</v>
      </c>
    </row>
    <row r="43" spans="1:9" x14ac:dyDescent="0.35">
      <c r="A43" t="s">
        <v>29</v>
      </c>
      <c r="B43" t="s">
        <v>8</v>
      </c>
      <c r="C43" t="s">
        <v>19</v>
      </c>
      <c r="D43" t="s">
        <v>10</v>
      </c>
      <c r="E43">
        <v>5</v>
      </c>
      <c r="F43">
        <v>22792</v>
      </c>
      <c r="G43" s="1">
        <v>44968</v>
      </c>
      <c r="H43">
        <v>113960</v>
      </c>
      <c r="I43">
        <v>4558.3999999999996</v>
      </c>
    </row>
    <row r="44" spans="1:9" x14ac:dyDescent="0.35">
      <c r="A44" t="s">
        <v>22</v>
      </c>
      <c r="B44" t="s">
        <v>12</v>
      </c>
      <c r="C44" t="s">
        <v>19</v>
      </c>
      <c r="D44" t="s">
        <v>10</v>
      </c>
      <c r="E44">
        <v>5</v>
      </c>
      <c r="F44">
        <v>41483</v>
      </c>
      <c r="G44" s="1">
        <v>44969</v>
      </c>
      <c r="H44">
        <v>207415</v>
      </c>
      <c r="I44">
        <v>8296.6</v>
      </c>
    </row>
    <row r="45" spans="1:9" x14ac:dyDescent="0.35">
      <c r="A45" t="s">
        <v>32</v>
      </c>
      <c r="B45" t="s">
        <v>8</v>
      </c>
      <c r="C45" t="s">
        <v>9</v>
      </c>
      <c r="D45" t="s">
        <v>25</v>
      </c>
      <c r="E45">
        <v>3</v>
      </c>
      <c r="F45">
        <v>9942</v>
      </c>
      <c r="G45" s="1">
        <v>44970</v>
      </c>
      <c r="H45">
        <v>29826</v>
      </c>
      <c r="I45">
        <v>1988.4</v>
      </c>
    </row>
    <row r="46" spans="1:9" x14ac:dyDescent="0.35">
      <c r="A46" t="s">
        <v>22</v>
      </c>
      <c r="B46" t="s">
        <v>8</v>
      </c>
      <c r="C46" t="s">
        <v>16</v>
      </c>
      <c r="D46" t="s">
        <v>17</v>
      </c>
      <c r="E46">
        <v>4</v>
      </c>
      <c r="F46">
        <v>49275</v>
      </c>
      <c r="G46" s="1">
        <v>44971</v>
      </c>
      <c r="H46">
        <v>197100</v>
      </c>
      <c r="I46">
        <v>9855</v>
      </c>
    </row>
    <row r="47" spans="1:9" x14ac:dyDescent="0.35">
      <c r="A47" t="s">
        <v>18</v>
      </c>
      <c r="B47" t="s">
        <v>24</v>
      </c>
      <c r="C47" t="s">
        <v>19</v>
      </c>
      <c r="D47" t="s">
        <v>26</v>
      </c>
      <c r="E47">
        <v>9</v>
      </c>
      <c r="F47">
        <v>49594</v>
      </c>
      <c r="G47" s="1">
        <v>44972</v>
      </c>
      <c r="H47">
        <v>446346</v>
      </c>
      <c r="I47">
        <v>9918.7999999999993</v>
      </c>
    </row>
    <row r="48" spans="1:9" x14ac:dyDescent="0.35">
      <c r="A48" t="s">
        <v>29</v>
      </c>
      <c r="B48" t="s">
        <v>21</v>
      </c>
      <c r="C48" t="s">
        <v>16</v>
      </c>
      <c r="D48" t="s">
        <v>26</v>
      </c>
      <c r="E48">
        <v>9</v>
      </c>
      <c r="F48">
        <v>2762</v>
      </c>
      <c r="G48" s="1">
        <v>44973</v>
      </c>
      <c r="H48">
        <v>24858</v>
      </c>
      <c r="I48">
        <v>552.4</v>
      </c>
    </row>
    <row r="49" spans="1:9" x14ac:dyDescent="0.35">
      <c r="A49" t="s">
        <v>11</v>
      </c>
      <c r="B49" t="s">
        <v>12</v>
      </c>
      <c r="C49" t="s">
        <v>9</v>
      </c>
      <c r="D49" t="s">
        <v>17</v>
      </c>
      <c r="E49">
        <v>2</v>
      </c>
      <c r="F49">
        <v>32987</v>
      </c>
      <c r="G49" s="1">
        <v>44974</v>
      </c>
      <c r="H49">
        <v>65974</v>
      </c>
      <c r="I49">
        <v>6597.4</v>
      </c>
    </row>
    <row r="50" spans="1:9" x14ac:dyDescent="0.35">
      <c r="A50" t="s">
        <v>7</v>
      </c>
      <c r="B50" t="s">
        <v>24</v>
      </c>
      <c r="C50" t="s">
        <v>19</v>
      </c>
      <c r="D50" t="s">
        <v>10</v>
      </c>
      <c r="E50">
        <v>8</v>
      </c>
      <c r="F50">
        <v>16850</v>
      </c>
      <c r="G50" s="1">
        <v>44975</v>
      </c>
      <c r="H50">
        <v>134800</v>
      </c>
      <c r="I50">
        <v>3370</v>
      </c>
    </row>
    <row r="51" spans="1:9" x14ac:dyDescent="0.35">
      <c r="A51" t="s">
        <v>15</v>
      </c>
      <c r="B51" t="s">
        <v>8</v>
      </c>
      <c r="C51" t="s">
        <v>16</v>
      </c>
      <c r="D51" t="s">
        <v>14</v>
      </c>
      <c r="E51">
        <v>8</v>
      </c>
      <c r="F51">
        <v>13112</v>
      </c>
      <c r="G51" s="1">
        <v>44976</v>
      </c>
      <c r="H51">
        <v>104896</v>
      </c>
      <c r="I51">
        <v>2622.4</v>
      </c>
    </row>
    <row r="52" spans="1:9" x14ac:dyDescent="0.35">
      <c r="A52" t="s">
        <v>23</v>
      </c>
      <c r="B52" t="s">
        <v>21</v>
      </c>
      <c r="C52" t="s">
        <v>19</v>
      </c>
      <c r="D52" t="s">
        <v>28</v>
      </c>
      <c r="E52">
        <v>7</v>
      </c>
      <c r="F52">
        <v>25058</v>
      </c>
      <c r="G52" s="1">
        <v>44977</v>
      </c>
      <c r="H52">
        <v>175406</v>
      </c>
      <c r="I52">
        <v>5011.6000000000004</v>
      </c>
    </row>
    <row r="53" spans="1:9" x14ac:dyDescent="0.35">
      <c r="A53" t="s">
        <v>31</v>
      </c>
      <c r="B53" t="s">
        <v>24</v>
      </c>
      <c r="C53" t="s">
        <v>9</v>
      </c>
      <c r="D53" t="s">
        <v>25</v>
      </c>
      <c r="E53">
        <v>8</v>
      </c>
      <c r="F53">
        <v>46420</v>
      </c>
      <c r="G53" s="1">
        <v>44978</v>
      </c>
      <c r="H53">
        <v>371360</v>
      </c>
      <c r="I53">
        <v>9284</v>
      </c>
    </row>
    <row r="54" spans="1:9" x14ac:dyDescent="0.35">
      <c r="A54" t="s">
        <v>11</v>
      </c>
      <c r="B54" t="s">
        <v>21</v>
      </c>
      <c r="C54" t="s">
        <v>16</v>
      </c>
      <c r="D54" t="s">
        <v>28</v>
      </c>
      <c r="E54">
        <v>3</v>
      </c>
      <c r="F54">
        <v>39890</v>
      </c>
      <c r="G54" s="1">
        <v>44979</v>
      </c>
      <c r="H54">
        <v>119670</v>
      </c>
      <c r="I54">
        <v>7978</v>
      </c>
    </row>
    <row r="55" spans="1:9" x14ac:dyDescent="0.35">
      <c r="A55" t="s">
        <v>29</v>
      </c>
      <c r="B55" t="s">
        <v>24</v>
      </c>
      <c r="C55" t="s">
        <v>19</v>
      </c>
      <c r="D55" t="s">
        <v>20</v>
      </c>
      <c r="E55">
        <v>6</v>
      </c>
      <c r="F55">
        <v>1481</v>
      </c>
      <c r="G55" s="1">
        <v>44980</v>
      </c>
      <c r="H55">
        <v>8886</v>
      </c>
      <c r="I55">
        <v>296.2</v>
      </c>
    </row>
    <row r="56" spans="1:9" x14ac:dyDescent="0.35">
      <c r="A56" t="s">
        <v>15</v>
      </c>
      <c r="B56" t="s">
        <v>21</v>
      </c>
      <c r="C56" t="s">
        <v>9</v>
      </c>
      <c r="D56" t="s">
        <v>17</v>
      </c>
      <c r="E56">
        <v>1</v>
      </c>
      <c r="F56">
        <v>48304</v>
      </c>
      <c r="G56" s="1">
        <v>44981</v>
      </c>
      <c r="H56">
        <v>48304</v>
      </c>
      <c r="I56">
        <v>9660.7999999999993</v>
      </c>
    </row>
    <row r="57" spans="1:9" x14ac:dyDescent="0.35">
      <c r="A57" t="s">
        <v>11</v>
      </c>
      <c r="B57" t="s">
        <v>8</v>
      </c>
      <c r="C57" t="s">
        <v>19</v>
      </c>
      <c r="D57" t="s">
        <v>14</v>
      </c>
      <c r="E57">
        <v>7</v>
      </c>
      <c r="F57">
        <v>33921</v>
      </c>
      <c r="G57" s="1">
        <v>44982</v>
      </c>
      <c r="H57">
        <v>237447</v>
      </c>
      <c r="I57">
        <v>6784.2</v>
      </c>
    </row>
    <row r="58" spans="1:9" x14ac:dyDescent="0.35">
      <c r="A58" t="s">
        <v>29</v>
      </c>
      <c r="B58" t="s">
        <v>12</v>
      </c>
      <c r="C58" t="s">
        <v>19</v>
      </c>
      <c r="D58" t="s">
        <v>25</v>
      </c>
      <c r="E58">
        <v>1</v>
      </c>
      <c r="F58">
        <v>41385</v>
      </c>
      <c r="G58" s="1">
        <v>44983</v>
      </c>
      <c r="H58">
        <v>41385</v>
      </c>
      <c r="I58">
        <v>8277</v>
      </c>
    </row>
    <row r="59" spans="1:9" x14ac:dyDescent="0.35">
      <c r="A59" t="s">
        <v>27</v>
      </c>
      <c r="B59" t="s">
        <v>8</v>
      </c>
      <c r="C59" t="s">
        <v>13</v>
      </c>
      <c r="D59" t="s">
        <v>17</v>
      </c>
      <c r="E59">
        <v>9</v>
      </c>
      <c r="F59">
        <v>2524</v>
      </c>
      <c r="G59" s="1">
        <v>44984</v>
      </c>
      <c r="H59">
        <v>22716</v>
      </c>
      <c r="I59">
        <v>504.8</v>
      </c>
    </row>
    <row r="60" spans="1:9" x14ac:dyDescent="0.35">
      <c r="A60" t="s">
        <v>27</v>
      </c>
      <c r="B60" t="s">
        <v>12</v>
      </c>
      <c r="C60" t="s">
        <v>13</v>
      </c>
      <c r="D60" t="s">
        <v>10</v>
      </c>
      <c r="E60">
        <v>1</v>
      </c>
      <c r="F60">
        <v>35888</v>
      </c>
      <c r="G60" s="1">
        <v>44985</v>
      </c>
      <c r="H60">
        <v>35888</v>
      </c>
      <c r="I60">
        <v>7177.6</v>
      </c>
    </row>
    <row r="61" spans="1:9" x14ac:dyDescent="0.35">
      <c r="A61" t="s">
        <v>22</v>
      </c>
      <c r="B61" t="s">
        <v>21</v>
      </c>
      <c r="C61" t="s">
        <v>9</v>
      </c>
      <c r="D61" t="s">
        <v>26</v>
      </c>
      <c r="E61">
        <v>1</v>
      </c>
      <c r="F61">
        <v>16048</v>
      </c>
      <c r="G61" s="1">
        <v>44986</v>
      </c>
      <c r="H61">
        <v>16048</v>
      </c>
      <c r="I61">
        <v>3209.6</v>
      </c>
    </row>
    <row r="62" spans="1:9" x14ac:dyDescent="0.35">
      <c r="A62" t="s">
        <v>11</v>
      </c>
      <c r="B62" t="s">
        <v>24</v>
      </c>
      <c r="C62" t="s">
        <v>13</v>
      </c>
      <c r="D62" t="s">
        <v>28</v>
      </c>
      <c r="E62">
        <v>7</v>
      </c>
      <c r="F62">
        <v>36111</v>
      </c>
      <c r="G62" s="1">
        <v>44987</v>
      </c>
      <c r="H62">
        <v>252777</v>
      </c>
      <c r="I62">
        <v>7222.2</v>
      </c>
    </row>
    <row r="63" spans="1:9" x14ac:dyDescent="0.35">
      <c r="A63" t="s">
        <v>27</v>
      </c>
      <c r="B63" t="s">
        <v>8</v>
      </c>
      <c r="C63" t="s">
        <v>9</v>
      </c>
      <c r="D63" t="s">
        <v>30</v>
      </c>
      <c r="E63">
        <v>2</v>
      </c>
      <c r="F63">
        <v>38904</v>
      </c>
      <c r="G63" s="1">
        <v>44988</v>
      </c>
      <c r="H63">
        <v>77808</v>
      </c>
      <c r="I63">
        <v>7780.8</v>
      </c>
    </row>
    <row r="64" spans="1:9" x14ac:dyDescent="0.35">
      <c r="A64" t="s">
        <v>29</v>
      </c>
      <c r="B64" t="s">
        <v>12</v>
      </c>
      <c r="C64" t="s">
        <v>13</v>
      </c>
      <c r="D64" t="s">
        <v>30</v>
      </c>
      <c r="E64">
        <v>5</v>
      </c>
      <c r="F64">
        <v>35008</v>
      </c>
      <c r="G64" s="1">
        <v>44989</v>
      </c>
      <c r="H64">
        <v>175040</v>
      </c>
      <c r="I64">
        <v>7001.6</v>
      </c>
    </row>
    <row r="65" spans="1:9" x14ac:dyDescent="0.35">
      <c r="A65" t="s">
        <v>22</v>
      </c>
      <c r="B65" t="s">
        <v>8</v>
      </c>
      <c r="C65" t="s">
        <v>19</v>
      </c>
      <c r="D65" t="s">
        <v>14</v>
      </c>
      <c r="E65">
        <v>8</v>
      </c>
      <c r="F65">
        <v>1060</v>
      </c>
      <c r="G65" s="1">
        <v>44990</v>
      </c>
      <c r="H65">
        <v>8480</v>
      </c>
      <c r="I65">
        <v>212</v>
      </c>
    </row>
    <row r="66" spans="1:9" x14ac:dyDescent="0.35">
      <c r="A66" t="s">
        <v>29</v>
      </c>
      <c r="B66" t="s">
        <v>12</v>
      </c>
      <c r="C66" t="s">
        <v>9</v>
      </c>
      <c r="D66" t="s">
        <v>10</v>
      </c>
      <c r="E66">
        <v>8</v>
      </c>
      <c r="F66">
        <v>10130</v>
      </c>
      <c r="G66" s="1">
        <v>44991</v>
      </c>
      <c r="H66">
        <v>81040</v>
      </c>
      <c r="I66">
        <v>2026</v>
      </c>
    </row>
    <row r="67" spans="1:9" x14ac:dyDescent="0.35">
      <c r="A67" t="s">
        <v>22</v>
      </c>
      <c r="B67" t="s">
        <v>8</v>
      </c>
      <c r="C67" t="s">
        <v>9</v>
      </c>
      <c r="D67" t="s">
        <v>20</v>
      </c>
      <c r="E67">
        <v>3</v>
      </c>
      <c r="F67">
        <v>19023</v>
      </c>
      <c r="G67" s="1">
        <v>44992</v>
      </c>
      <c r="H67">
        <v>57069</v>
      </c>
      <c r="I67">
        <v>3804.6</v>
      </c>
    </row>
    <row r="68" spans="1:9" x14ac:dyDescent="0.35">
      <c r="A68" t="s">
        <v>11</v>
      </c>
      <c r="B68" t="s">
        <v>12</v>
      </c>
      <c r="C68" t="s">
        <v>19</v>
      </c>
      <c r="D68" t="s">
        <v>28</v>
      </c>
      <c r="E68">
        <v>7</v>
      </c>
      <c r="F68">
        <v>46080</v>
      </c>
      <c r="G68" s="1">
        <v>44993</v>
      </c>
      <c r="H68">
        <v>322560</v>
      </c>
      <c r="I68">
        <v>9216</v>
      </c>
    </row>
    <row r="69" spans="1:9" x14ac:dyDescent="0.35">
      <c r="A69" t="s">
        <v>15</v>
      </c>
      <c r="B69" t="s">
        <v>12</v>
      </c>
      <c r="C69" t="s">
        <v>9</v>
      </c>
      <c r="D69" t="s">
        <v>10</v>
      </c>
      <c r="E69">
        <v>3</v>
      </c>
      <c r="F69">
        <v>14350</v>
      </c>
      <c r="G69" s="1">
        <v>44994</v>
      </c>
      <c r="H69">
        <v>43050</v>
      </c>
      <c r="I69">
        <v>2870</v>
      </c>
    </row>
    <row r="70" spans="1:9" x14ac:dyDescent="0.35">
      <c r="A70" t="s">
        <v>7</v>
      </c>
      <c r="B70" t="s">
        <v>21</v>
      </c>
      <c r="C70" t="s">
        <v>9</v>
      </c>
      <c r="D70" t="s">
        <v>28</v>
      </c>
      <c r="E70">
        <v>6</v>
      </c>
      <c r="F70">
        <v>25354</v>
      </c>
      <c r="G70" s="1">
        <v>44995</v>
      </c>
      <c r="H70">
        <v>152124</v>
      </c>
      <c r="I70">
        <v>5070.8</v>
      </c>
    </row>
    <row r="71" spans="1:9" x14ac:dyDescent="0.35">
      <c r="A71" t="s">
        <v>32</v>
      </c>
      <c r="B71" t="s">
        <v>12</v>
      </c>
      <c r="C71" t="s">
        <v>13</v>
      </c>
      <c r="D71" t="s">
        <v>14</v>
      </c>
      <c r="E71">
        <v>6</v>
      </c>
      <c r="F71">
        <v>46186</v>
      </c>
      <c r="G71" s="1">
        <v>44996</v>
      </c>
      <c r="H71">
        <v>277116</v>
      </c>
      <c r="I71">
        <v>9237.2000000000007</v>
      </c>
    </row>
    <row r="72" spans="1:9" x14ac:dyDescent="0.35">
      <c r="A72" t="s">
        <v>15</v>
      </c>
      <c r="B72" t="s">
        <v>21</v>
      </c>
      <c r="C72" t="s">
        <v>9</v>
      </c>
      <c r="D72" t="s">
        <v>14</v>
      </c>
      <c r="E72">
        <v>3</v>
      </c>
      <c r="F72">
        <v>29145</v>
      </c>
      <c r="G72" s="1">
        <v>44997</v>
      </c>
      <c r="H72">
        <v>87435</v>
      </c>
      <c r="I72">
        <v>5829</v>
      </c>
    </row>
    <row r="73" spans="1:9" x14ac:dyDescent="0.35">
      <c r="A73" t="s">
        <v>18</v>
      </c>
      <c r="B73" t="s">
        <v>12</v>
      </c>
      <c r="C73" t="s">
        <v>16</v>
      </c>
      <c r="D73" t="s">
        <v>20</v>
      </c>
      <c r="E73">
        <v>7</v>
      </c>
      <c r="F73">
        <v>35020</v>
      </c>
      <c r="G73" s="1">
        <v>44998</v>
      </c>
      <c r="H73">
        <v>245140</v>
      </c>
      <c r="I73">
        <v>7004</v>
      </c>
    </row>
    <row r="74" spans="1:9" x14ac:dyDescent="0.35">
      <c r="A74" t="s">
        <v>29</v>
      </c>
      <c r="B74" t="s">
        <v>24</v>
      </c>
      <c r="C74" t="s">
        <v>19</v>
      </c>
      <c r="D74" t="s">
        <v>30</v>
      </c>
      <c r="E74">
        <v>3</v>
      </c>
      <c r="F74">
        <v>21587</v>
      </c>
      <c r="G74" s="1">
        <v>44999</v>
      </c>
      <c r="H74">
        <v>64761</v>
      </c>
      <c r="I74">
        <v>4317.3999999999996</v>
      </c>
    </row>
    <row r="75" spans="1:9" x14ac:dyDescent="0.35">
      <c r="A75" t="s">
        <v>18</v>
      </c>
      <c r="B75" t="s">
        <v>24</v>
      </c>
      <c r="C75" t="s">
        <v>13</v>
      </c>
      <c r="D75" t="s">
        <v>10</v>
      </c>
      <c r="E75">
        <v>8</v>
      </c>
      <c r="F75">
        <v>42131</v>
      </c>
      <c r="G75" s="1">
        <v>45000</v>
      </c>
      <c r="H75">
        <v>337048</v>
      </c>
      <c r="I75">
        <v>8426.2000000000007</v>
      </c>
    </row>
    <row r="76" spans="1:9" x14ac:dyDescent="0.35">
      <c r="A76" t="s">
        <v>15</v>
      </c>
      <c r="B76" t="s">
        <v>24</v>
      </c>
      <c r="C76" t="s">
        <v>13</v>
      </c>
      <c r="D76" t="s">
        <v>25</v>
      </c>
      <c r="E76">
        <v>4</v>
      </c>
      <c r="F76">
        <v>10650</v>
      </c>
      <c r="G76" s="1">
        <v>45001</v>
      </c>
      <c r="H76">
        <v>42600</v>
      </c>
      <c r="I76">
        <v>2130</v>
      </c>
    </row>
    <row r="77" spans="1:9" x14ac:dyDescent="0.35">
      <c r="A77" t="s">
        <v>22</v>
      </c>
      <c r="B77" t="s">
        <v>12</v>
      </c>
      <c r="C77" t="s">
        <v>16</v>
      </c>
      <c r="D77" t="s">
        <v>30</v>
      </c>
      <c r="E77">
        <v>1</v>
      </c>
      <c r="F77">
        <v>20933</v>
      </c>
      <c r="G77" s="1">
        <v>45002</v>
      </c>
      <c r="H77">
        <v>20933</v>
      </c>
      <c r="I77">
        <v>4186.6000000000004</v>
      </c>
    </row>
    <row r="78" spans="1:9" x14ac:dyDescent="0.35">
      <c r="A78" t="s">
        <v>32</v>
      </c>
      <c r="B78" t="s">
        <v>21</v>
      </c>
      <c r="C78" t="s">
        <v>19</v>
      </c>
      <c r="D78" t="s">
        <v>10</v>
      </c>
      <c r="E78">
        <v>4</v>
      </c>
      <c r="F78">
        <v>21581</v>
      </c>
      <c r="G78" s="1">
        <v>45003</v>
      </c>
      <c r="H78">
        <v>86324</v>
      </c>
      <c r="I78">
        <v>4316.2</v>
      </c>
    </row>
    <row r="79" spans="1:9" x14ac:dyDescent="0.35">
      <c r="A79" t="s">
        <v>32</v>
      </c>
      <c r="B79" t="s">
        <v>21</v>
      </c>
      <c r="C79" t="s">
        <v>19</v>
      </c>
      <c r="D79" t="s">
        <v>30</v>
      </c>
      <c r="E79">
        <v>7</v>
      </c>
      <c r="F79">
        <v>24393</v>
      </c>
      <c r="G79" s="1">
        <v>45004</v>
      </c>
      <c r="H79">
        <v>170751</v>
      </c>
      <c r="I79">
        <v>4878.6000000000004</v>
      </c>
    </row>
    <row r="80" spans="1:9" x14ac:dyDescent="0.35">
      <c r="A80" t="s">
        <v>31</v>
      </c>
      <c r="B80" t="s">
        <v>12</v>
      </c>
      <c r="C80" t="s">
        <v>13</v>
      </c>
      <c r="D80" t="s">
        <v>25</v>
      </c>
      <c r="E80">
        <v>4</v>
      </c>
      <c r="F80">
        <v>24051</v>
      </c>
      <c r="G80" s="1">
        <v>45005</v>
      </c>
      <c r="H80">
        <v>96204</v>
      </c>
      <c r="I80">
        <v>4810.2</v>
      </c>
    </row>
    <row r="81" spans="1:9" x14ac:dyDescent="0.35">
      <c r="A81" t="s">
        <v>32</v>
      </c>
      <c r="B81" t="s">
        <v>24</v>
      </c>
      <c r="C81" t="s">
        <v>9</v>
      </c>
      <c r="D81" t="s">
        <v>26</v>
      </c>
      <c r="E81">
        <v>6</v>
      </c>
      <c r="F81">
        <v>27212</v>
      </c>
      <c r="G81" s="1">
        <v>45006</v>
      </c>
      <c r="H81">
        <v>163272</v>
      </c>
      <c r="I81">
        <v>5442.4</v>
      </c>
    </row>
    <row r="82" spans="1:9" x14ac:dyDescent="0.35">
      <c r="A82" t="s">
        <v>7</v>
      </c>
      <c r="B82" t="s">
        <v>24</v>
      </c>
      <c r="C82" t="s">
        <v>13</v>
      </c>
      <c r="D82" t="s">
        <v>26</v>
      </c>
      <c r="E82">
        <v>9</v>
      </c>
      <c r="F82">
        <v>5090</v>
      </c>
      <c r="G82" s="1">
        <v>45007</v>
      </c>
      <c r="H82">
        <v>45810</v>
      </c>
      <c r="I82">
        <v>1018</v>
      </c>
    </row>
    <row r="83" spans="1:9" x14ac:dyDescent="0.35">
      <c r="A83" t="s">
        <v>32</v>
      </c>
      <c r="B83" t="s">
        <v>21</v>
      </c>
      <c r="C83" t="s">
        <v>19</v>
      </c>
      <c r="D83" t="s">
        <v>20</v>
      </c>
      <c r="E83">
        <v>1</v>
      </c>
      <c r="F83">
        <v>7960</v>
      </c>
      <c r="G83" s="1">
        <v>45008</v>
      </c>
      <c r="H83">
        <v>7960</v>
      </c>
      <c r="I83">
        <v>1592</v>
      </c>
    </row>
    <row r="84" spans="1:9" x14ac:dyDescent="0.35">
      <c r="A84" t="s">
        <v>15</v>
      </c>
      <c r="B84" t="s">
        <v>24</v>
      </c>
      <c r="C84" t="s">
        <v>16</v>
      </c>
      <c r="D84" t="s">
        <v>26</v>
      </c>
      <c r="E84">
        <v>5</v>
      </c>
      <c r="F84">
        <v>36772</v>
      </c>
      <c r="G84" s="1">
        <v>45009</v>
      </c>
      <c r="H84">
        <v>183860</v>
      </c>
      <c r="I84">
        <v>7354.4</v>
      </c>
    </row>
    <row r="85" spans="1:9" x14ac:dyDescent="0.35">
      <c r="A85" t="s">
        <v>31</v>
      </c>
      <c r="B85" t="s">
        <v>8</v>
      </c>
      <c r="C85" t="s">
        <v>13</v>
      </c>
      <c r="D85" t="s">
        <v>26</v>
      </c>
      <c r="E85">
        <v>7</v>
      </c>
      <c r="F85">
        <v>22520</v>
      </c>
      <c r="G85" s="1">
        <v>45010</v>
      </c>
      <c r="H85">
        <v>157640</v>
      </c>
      <c r="I85">
        <v>4504</v>
      </c>
    </row>
    <row r="86" spans="1:9" x14ac:dyDescent="0.35">
      <c r="A86" t="s">
        <v>15</v>
      </c>
      <c r="B86" t="s">
        <v>21</v>
      </c>
      <c r="C86" t="s">
        <v>19</v>
      </c>
      <c r="D86" t="s">
        <v>17</v>
      </c>
      <c r="E86">
        <v>1</v>
      </c>
      <c r="F86">
        <v>37408</v>
      </c>
      <c r="G86" s="1">
        <v>45011</v>
      </c>
      <c r="H86">
        <v>37408</v>
      </c>
      <c r="I86">
        <v>7481.6</v>
      </c>
    </row>
    <row r="87" spans="1:9" x14ac:dyDescent="0.35">
      <c r="A87" t="s">
        <v>15</v>
      </c>
      <c r="B87" t="s">
        <v>24</v>
      </c>
      <c r="C87" t="s">
        <v>13</v>
      </c>
      <c r="D87" t="s">
        <v>28</v>
      </c>
      <c r="E87">
        <v>4</v>
      </c>
      <c r="F87">
        <v>29470</v>
      </c>
      <c r="G87" s="1">
        <v>45012</v>
      </c>
      <c r="H87">
        <v>117880</v>
      </c>
      <c r="I87">
        <v>5894</v>
      </c>
    </row>
    <row r="88" spans="1:9" x14ac:dyDescent="0.35">
      <c r="A88" t="s">
        <v>23</v>
      </c>
      <c r="B88" t="s">
        <v>21</v>
      </c>
      <c r="C88" t="s">
        <v>9</v>
      </c>
      <c r="D88" t="s">
        <v>17</v>
      </c>
      <c r="E88">
        <v>6</v>
      </c>
      <c r="F88">
        <v>21491</v>
      </c>
      <c r="G88" s="1">
        <v>45013</v>
      </c>
      <c r="H88">
        <v>128946</v>
      </c>
      <c r="I88">
        <v>4298.2</v>
      </c>
    </row>
    <row r="89" spans="1:9" x14ac:dyDescent="0.35">
      <c r="A89" t="s">
        <v>31</v>
      </c>
      <c r="B89" t="s">
        <v>8</v>
      </c>
      <c r="C89" t="s">
        <v>13</v>
      </c>
      <c r="D89" t="s">
        <v>17</v>
      </c>
      <c r="E89">
        <v>2</v>
      </c>
      <c r="F89">
        <v>2341</v>
      </c>
      <c r="G89" s="1">
        <v>45014</v>
      </c>
      <c r="H89">
        <v>4682</v>
      </c>
      <c r="I89">
        <v>468.2</v>
      </c>
    </row>
    <row r="90" spans="1:9" x14ac:dyDescent="0.35">
      <c r="A90" t="s">
        <v>15</v>
      </c>
      <c r="B90" t="s">
        <v>21</v>
      </c>
      <c r="C90" t="s">
        <v>13</v>
      </c>
      <c r="D90" t="s">
        <v>20</v>
      </c>
      <c r="E90">
        <v>5</v>
      </c>
      <c r="F90">
        <v>45623</v>
      </c>
      <c r="G90" s="1">
        <v>45015</v>
      </c>
      <c r="H90">
        <v>228115</v>
      </c>
      <c r="I90">
        <v>9124.6</v>
      </c>
    </row>
    <row r="91" spans="1:9" x14ac:dyDescent="0.35">
      <c r="A91" t="s">
        <v>23</v>
      </c>
      <c r="B91" t="s">
        <v>21</v>
      </c>
      <c r="C91" t="s">
        <v>19</v>
      </c>
      <c r="D91" t="s">
        <v>17</v>
      </c>
      <c r="E91">
        <v>1</v>
      </c>
      <c r="F91">
        <v>25791</v>
      </c>
      <c r="G91" s="1">
        <v>45016</v>
      </c>
      <c r="H91">
        <v>25791</v>
      </c>
      <c r="I91">
        <v>5158.2</v>
      </c>
    </row>
    <row r="92" spans="1:9" x14ac:dyDescent="0.35">
      <c r="A92" t="s">
        <v>23</v>
      </c>
      <c r="B92" t="s">
        <v>21</v>
      </c>
      <c r="C92" t="s">
        <v>19</v>
      </c>
      <c r="D92" t="s">
        <v>26</v>
      </c>
      <c r="E92">
        <v>6</v>
      </c>
      <c r="F92">
        <v>1338</v>
      </c>
      <c r="G92" s="1">
        <v>45017</v>
      </c>
      <c r="H92">
        <v>8028</v>
      </c>
      <c r="I92">
        <v>267.60000000000002</v>
      </c>
    </row>
    <row r="93" spans="1:9" x14ac:dyDescent="0.35">
      <c r="A93" t="s">
        <v>31</v>
      </c>
      <c r="B93" t="s">
        <v>21</v>
      </c>
      <c r="C93" t="s">
        <v>19</v>
      </c>
      <c r="D93" t="s">
        <v>25</v>
      </c>
      <c r="E93">
        <v>6</v>
      </c>
      <c r="F93">
        <v>6895</v>
      </c>
      <c r="G93" s="1">
        <v>45018</v>
      </c>
      <c r="H93">
        <v>41370</v>
      </c>
      <c r="I93">
        <v>1379</v>
      </c>
    </row>
    <row r="94" spans="1:9" x14ac:dyDescent="0.35">
      <c r="A94" t="s">
        <v>18</v>
      </c>
      <c r="B94" t="s">
        <v>8</v>
      </c>
      <c r="C94" t="s">
        <v>13</v>
      </c>
      <c r="D94" t="s">
        <v>20</v>
      </c>
      <c r="E94">
        <v>4</v>
      </c>
      <c r="F94">
        <v>13254</v>
      </c>
      <c r="G94" s="1">
        <v>45019</v>
      </c>
      <c r="H94">
        <v>53016</v>
      </c>
      <c r="I94">
        <v>2650.8</v>
      </c>
    </row>
    <row r="95" spans="1:9" x14ac:dyDescent="0.35">
      <c r="A95" t="s">
        <v>22</v>
      </c>
      <c r="B95" t="s">
        <v>12</v>
      </c>
      <c r="C95" t="s">
        <v>9</v>
      </c>
      <c r="D95" t="s">
        <v>20</v>
      </c>
      <c r="E95">
        <v>8</v>
      </c>
      <c r="F95">
        <v>12344</v>
      </c>
      <c r="G95" s="1">
        <v>45020</v>
      </c>
      <c r="H95">
        <v>98752</v>
      </c>
      <c r="I95">
        <v>2468.8000000000002</v>
      </c>
    </row>
    <row r="96" spans="1:9" x14ac:dyDescent="0.35">
      <c r="A96" t="s">
        <v>7</v>
      </c>
      <c r="B96" t="s">
        <v>21</v>
      </c>
      <c r="C96" t="s">
        <v>16</v>
      </c>
      <c r="D96" t="s">
        <v>14</v>
      </c>
      <c r="E96">
        <v>4</v>
      </c>
      <c r="F96">
        <v>2750</v>
      </c>
      <c r="G96" s="1">
        <v>45021</v>
      </c>
      <c r="H96">
        <v>11000</v>
      </c>
      <c r="I96">
        <v>550</v>
      </c>
    </row>
    <row r="97" spans="1:9" x14ac:dyDescent="0.35">
      <c r="A97" t="s">
        <v>22</v>
      </c>
      <c r="B97" t="s">
        <v>21</v>
      </c>
      <c r="C97" t="s">
        <v>16</v>
      </c>
      <c r="D97" t="s">
        <v>20</v>
      </c>
      <c r="E97">
        <v>8</v>
      </c>
      <c r="F97">
        <v>3421</v>
      </c>
      <c r="G97" s="1">
        <v>45022</v>
      </c>
      <c r="H97">
        <v>27368</v>
      </c>
      <c r="I97">
        <v>684.2</v>
      </c>
    </row>
    <row r="98" spans="1:9" x14ac:dyDescent="0.35">
      <c r="A98" t="s">
        <v>32</v>
      </c>
      <c r="B98" t="s">
        <v>24</v>
      </c>
      <c r="C98" t="s">
        <v>19</v>
      </c>
      <c r="D98" t="s">
        <v>14</v>
      </c>
      <c r="E98">
        <v>8</v>
      </c>
      <c r="F98">
        <v>40887</v>
      </c>
      <c r="G98" s="1">
        <v>45023</v>
      </c>
      <c r="H98">
        <v>327096</v>
      </c>
      <c r="I98">
        <v>8177.4</v>
      </c>
    </row>
    <row r="99" spans="1:9" x14ac:dyDescent="0.35">
      <c r="A99" t="s">
        <v>7</v>
      </c>
      <c r="B99" t="s">
        <v>21</v>
      </c>
      <c r="C99" t="s">
        <v>19</v>
      </c>
      <c r="D99" t="s">
        <v>20</v>
      </c>
      <c r="E99">
        <v>5</v>
      </c>
      <c r="F99">
        <v>6319</v>
      </c>
      <c r="G99" s="1">
        <v>45024</v>
      </c>
      <c r="H99">
        <v>31595</v>
      </c>
      <c r="I99">
        <v>1263.8</v>
      </c>
    </row>
    <row r="100" spans="1:9" x14ac:dyDescent="0.35">
      <c r="A100" t="s">
        <v>32</v>
      </c>
      <c r="B100" t="s">
        <v>24</v>
      </c>
      <c r="C100" t="s">
        <v>13</v>
      </c>
      <c r="D100" t="s">
        <v>28</v>
      </c>
      <c r="E100">
        <v>4</v>
      </c>
      <c r="F100">
        <v>16896</v>
      </c>
      <c r="G100" s="1">
        <v>45025</v>
      </c>
      <c r="H100">
        <v>67584</v>
      </c>
      <c r="I100">
        <v>3379.2</v>
      </c>
    </row>
    <row r="101" spans="1:9" x14ac:dyDescent="0.35">
      <c r="A101" t="s">
        <v>15</v>
      </c>
      <c r="B101" t="s">
        <v>12</v>
      </c>
      <c r="C101" t="s">
        <v>16</v>
      </c>
      <c r="D101" t="s">
        <v>26</v>
      </c>
      <c r="E101">
        <v>2</v>
      </c>
      <c r="F101">
        <v>12918</v>
      </c>
      <c r="G101" s="1">
        <v>45026</v>
      </c>
      <c r="H101">
        <v>25836</v>
      </c>
      <c r="I101">
        <v>2583.6</v>
      </c>
    </row>
    <row r="102" spans="1:9" x14ac:dyDescent="0.35">
      <c r="A102" t="s">
        <v>29</v>
      </c>
      <c r="B102" t="s">
        <v>8</v>
      </c>
      <c r="C102" t="s">
        <v>19</v>
      </c>
      <c r="D102" t="s">
        <v>20</v>
      </c>
      <c r="E102">
        <v>3</v>
      </c>
      <c r="F102">
        <v>26064</v>
      </c>
      <c r="G102" s="1">
        <v>45027</v>
      </c>
      <c r="H102">
        <v>78192</v>
      </c>
      <c r="I102">
        <v>5212.8</v>
      </c>
    </row>
    <row r="103" spans="1:9" x14ac:dyDescent="0.35">
      <c r="A103" t="s">
        <v>31</v>
      </c>
      <c r="B103" t="s">
        <v>8</v>
      </c>
      <c r="C103" t="s">
        <v>9</v>
      </c>
      <c r="D103" t="s">
        <v>26</v>
      </c>
      <c r="E103">
        <v>3</v>
      </c>
      <c r="F103">
        <v>47617</v>
      </c>
      <c r="G103" s="1">
        <v>45028</v>
      </c>
      <c r="H103">
        <v>142851</v>
      </c>
      <c r="I103">
        <v>9523.4</v>
      </c>
    </row>
    <row r="104" spans="1:9" x14ac:dyDescent="0.35">
      <c r="A104" t="s">
        <v>7</v>
      </c>
      <c r="B104" t="s">
        <v>12</v>
      </c>
      <c r="C104" t="s">
        <v>9</v>
      </c>
      <c r="D104" t="s">
        <v>26</v>
      </c>
      <c r="E104">
        <v>4</v>
      </c>
      <c r="F104">
        <v>28935</v>
      </c>
      <c r="G104" s="1">
        <v>45029</v>
      </c>
      <c r="H104">
        <v>115740</v>
      </c>
      <c r="I104">
        <v>5787</v>
      </c>
    </row>
    <row r="105" spans="1:9" x14ac:dyDescent="0.35">
      <c r="A105" t="s">
        <v>7</v>
      </c>
      <c r="B105" t="s">
        <v>8</v>
      </c>
      <c r="C105" t="s">
        <v>19</v>
      </c>
      <c r="D105" t="s">
        <v>30</v>
      </c>
      <c r="E105">
        <v>4</v>
      </c>
      <c r="F105">
        <v>38641</v>
      </c>
      <c r="G105" s="1">
        <v>45030</v>
      </c>
      <c r="H105">
        <v>154564</v>
      </c>
      <c r="I105">
        <v>7728.2</v>
      </c>
    </row>
    <row r="106" spans="1:9" x14ac:dyDescent="0.35">
      <c r="A106" t="s">
        <v>15</v>
      </c>
      <c r="B106" t="s">
        <v>12</v>
      </c>
      <c r="C106" t="s">
        <v>19</v>
      </c>
      <c r="D106" t="s">
        <v>20</v>
      </c>
      <c r="E106">
        <v>5</v>
      </c>
      <c r="F106">
        <v>30711</v>
      </c>
      <c r="G106" s="1">
        <v>45031</v>
      </c>
      <c r="H106">
        <v>153555</v>
      </c>
      <c r="I106">
        <v>6142.2</v>
      </c>
    </row>
    <row r="107" spans="1:9" x14ac:dyDescent="0.35">
      <c r="A107" t="s">
        <v>18</v>
      </c>
      <c r="B107" t="s">
        <v>12</v>
      </c>
      <c r="C107" t="s">
        <v>16</v>
      </c>
      <c r="D107" t="s">
        <v>10</v>
      </c>
      <c r="E107">
        <v>4</v>
      </c>
      <c r="F107">
        <v>5806</v>
      </c>
      <c r="G107" s="1">
        <v>45032</v>
      </c>
      <c r="H107">
        <v>23224</v>
      </c>
      <c r="I107">
        <v>1161.2</v>
      </c>
    </row>
    <row r="108" spans="1:9" x14ac:dyDescent="0.35">
      <c r="A108" t="s">
        <v>23</v>
      </c>
      <c r="B108" t="s">
        <v>12</v>
      </c>
      <c r="C108" t="s">
        <v>16</v>
      </c>
      <c r="D108" t="s">
        <v>30</v>
      </c>
      <c r="E108">
        <v>8</v>
      </c>
      <c r="F108">
        <v>42360</v>
      </c>
      <c r="G108" s="1">
        <v>45033</v>
      </c>
      <c r="H108">
        <v>338880</v>
      </c>
      <c r="I108">
        <v>8472</v>
      </c>
    </row>
    <row r="109" spans="1:9" x14ac:dyDescent="0.35">
      <c r="A109" t="s">
        <v>15</v>
      </c>
      <c r="B109" t="s">
        <v>8</v>
      </c>
      <c r="C109" t="s">
        <v>13</v>
      </c>
      <c r="D109" t="s">
        <v>10</v>
      </c>
      <c r="E109">
        <v>6</v>
      </c>
      <c r="F109">
        <v>13182</v>
      </c>
      <c r="G109" s="1">
        <v>45034</v>
      </c>
      <c r="H109">
        <v>79092</v>
      </c>
      <c r="I109">
        <v>2636.4</v>
      </c>
    </row>
    <row r="110" spans="1:9" x14ac:dyDescent="0.35">
      <c r="A110" t="s">
        <v>27</v>
      </c>
      <c r="B110" t="s">
        <v>24</v>
      </c>
      <c r="C110" t="s">
        <v>16</v>
      </c>
      <c r="D110" t="s">
        <v>26</v>
      </c>
      <c r="E110">
        <v>6</v>
      </c>
      <c r="F110">
        <v>23297</v>
      </c>
      <c r="G110" s="1">
        <v>45035</v>
      </c>
      <c r="H110">
        <v>139782</v>
      </c>
      <c r="I110">
        <v>4659.3999999999996</v>
      </c>
    </row>
    <row r="111" spans="1:9" x14ac:dyDescent="0.35">
      <c r="A111" t="s">
        <v>23</v>
      </c>
      <c r="B111" t="s">
        <v>12</v>
      </c>
      <c r="C111" t="s">
        <v>9</v>
      </c>
      <c r="D111" t="s">
        <v>26</v>
      </c>
      <c r="E111">
        <v>8</v>
      </c>
      <c r="F111">
        <v>20541</v>
      </c>
      <c r="G111" s="1">
        <v>45036</v>
      </c>
      <c r="H111">
        <v>164328</v>
      </c>
      <c r="I111">
        <v>4108.2</v>
      </c>
    </row>
    <row r="112" spans="1:9" x14ac:dyDescent="0.35">
      <c r="A112" t="s">
        <v>31</v>
      </c>
      <c r="B112" t="s">
        <v>21</v>
      </c>
      <c r="C112" t="s">
        <v>9</v>
      </c>
      <c r="D112" t="s">
        <v>30</v>
      </c>
      <c r="E112">
        <v>7</v>
      </c>
      <c r="F112">
        <v>29921</v>
      </c>
      <c r="G112" s="1">
        <v>45037</v>
      </c>
      <c r="H112">
        <v>209447</v>
      </c>
      <c r="I112">
        <v>5984.2</v>
      </c>
    </row>
    <row r="113" spans="1:9" x14ac:dyDescent="0.35">
      <c r="A113" t="s">
        <v>23</v>
      </c>
      <c r="B113" t="s">
        <v>8</v>
      </c>
      <c r="C113" t="s">
        <v>19</v>
      </c>
      <c r="D113" t="s">
        <v>30</v>
      </c>
      <c r="E113">
        <v>8</v>
      </c>
      <c r="F113">
        <v>17774</v>
      </c>
      <c r="G113" s="1">
        <v>45038</v>
      </c>
      <c r="H113">
        <v>142192</v>
      </c>
      <c r="I113">
        <v>3554.8</v>
      </c>
    </row>
    <row r="114" spans="1:9" x14ac:dyDescent="0.35">
      <c r="A114" t="s">
        <v>18</v>
      </c>
      <c r="B114" t="s">
        <v>12</v>
      </c>
      <c r="C114" t="s">
        <v>16</v>
      </c>
      <c r="D114" t="s">
        <v>10</v>
      </c>
      <c r="E114">
        <v>2</v>
      </c>
      <c r="F114">
        <v>45813</v>
      </c>
      <c r="G114" s="1">
        <v>45039</v>
      </c>
      <c r="H114">
        <v>91626</v>
      </c>
      <c r="I114">
        <v>9162.6</v>
      </c>
    </row>
    <row r="115" spans="1:9" x14ac:dyDescent="0.35">
      <c r="A115" t="s">
        <v>23</v>
      </c>
      <c r="B115" t="s">
        <v>12</v>
      </c>
      <c r="C115" t="s">
        <v>13</v>
      </c>
      <c r="D115" t="s">
        <v>14</v>
      </c>
      <c r="E115">
        <v>9</v>
      </c>
      <c r="F115">
        <v>38198</v>
      </c>
      <c r="G115" s="1">
        <v>45040</v>
      </c>
      <c r="H115">
        <v>343782</v>
      </c>
      <c r="I115">
        <v>7639.6</v>
      </c>
    </row>
    <row r="116" spans="1:9" x14ac:dyDescent="0.35">
      <c r="A116" t="s">
        <v>31</v>
      </c>
      <c r="B116" t="s">
        <v>21</v>
      </c>
      <c r="C116" t="s">
        <v>9</v>
      </c>
      <c r="D116" t="s">
        <v>10</v>
      </c>
      <c r="E116">
        <v>1</v>
      </c>
      <c r="F116">
        <v>9820</v>
      </c>
      <c r="G116" s="1">
        <v>45041</v>
      </c>
      <c r="H116">
        <v>9820</v>
      </c>
      <c r="I116">
        <v>1964</v>
      </c>
    </row>
    <row r="117" spans="1:9" x14ac:dyDescent="0.35">
      <c r="A117" t="s">
        <v>18</v>
      </c>
      <c r="B117" t="s">
        <v>24</v>
      </c>
      <c r="C117" t="s">
        <v>9</v>
      </c>
      <c r="D117" t="s">
        <v>30</v>
      </c>
      <c r="E117">
        <v>8</v>
      </c>
      <c r="F117">
        <v>25070</v>
      </c>
      <c r="G117" s="1">
        <v>45042</v>
      </c>
      <c r="H117">
        <v>200560</v>
      </c>
      <c r="I117">
        <v>5014</v>
      </c>
    </row>
    <row r="118" spans="1:9" x14ac:dyDescent="0.35">
      <c r="A118" t="s">
        <v>22</v>
      </c>
      <c r="B118" t="s">
        <v>24</v>
      </c>
      <c r="C118" t="s">
        <v>13</v>
      </c>
      <c r="D118" t="s">
        <v>25</v>
      </c>
      <c r="E118">
        <v>4</v>
      </c>
      <c r="F118">
        <v>5232</v>
      </c>
      <c r="G118" s="1">
        <v>45043</v>
      </c>
      <c r="H118">
        <v>20928</v>
      </c>
      <c r="I118">
        <v>1046.4000000000001</v>
      </c>
    </row>
    <row r="119" spans="1:9" x14ac:dyDescent="0.35">
      <c r="A119" t="s">
        <v>7</v>
      </c>
      <c r="B119" t="s">
        <v>24</v>
      </c>
      <c r="C119" t="s">
        <v>13</v>
      </c>
      <c r="D119" t="s">
        <v>30</v>
      </c>
      <c r="E119">
        <v>4</v>
      </c>
      <c r="F119">
        <v>12122</v>
      </c>
      <c r="G119" s="1">
        <v>45044</v>
      </c>
      <c r="H119">
        <v>48488</v>
      </c>
      <c r="I119">
        <v>2424.4</v>
      </c>
    </row>
    <row r="120" spans="1:9" x14ac:dyDescent="0.35">
      <c r="A120" t="s">
        <v>7</v>
      </c>
      <c r="B120" t="s">
        <v>12</v>
      </c>
      <c r="C120" t="s">
        <v>9</v>
      </c>
      <c r="D120" t="s">
        <v>25</v>
      </c>
      <c r="E120">
        <v>5</v>
      </c>
      <c r="F120">
        <v>16023</v>
      </c>
      <c r="G120" s="1">
        <v>45045</v>
      </c>
      <c r="H120">
        <v>80115</v>
      </c>
      <c r="I120">
        <v>3204.6</v>
      </c>
    </row>
    <row r="121" spans="1:9" x14ac:dyDescent="0.35">
      <c r="A121" t="s">
        <v>32</v>
      </c>
      <c r="B121" t="s">
        <v>12</v>
      </c>
      <c r="C121" t="s">
        <v>9</v>
      </c>
      <c r="D121" t="s">
        <v>28</v>
      </c>
      <c r="E121">
        <v>8</v>
      </c>
      <c r="F121">
        <v>9007</v>
      </c>
      <c r="G121" s="1">
        <v>45046</v>
      </c>
      <c r="H121">
        <v>72056</v>
      </c>
      <c r="I121">
        <v>1801.4</v>
      </c>
    </row>
    <row r="122" spans="1:9" x14ac:dyDescent="0.35">
      <c r="A122" t="s">
        <v>22</v>
      </c>
      <c r="B122" t="s">
        <v>12</v>
      </c>
      <c r="C122" t="s">
        <v>13</v>
      </c>
      <c r="D122" t="s">
        <v>30</v>
      </c>
      <c r="E122">
        <v>5</v>
      </c>
      <c r="F122">
        <v>18905</v>
      </c>
      <c r="G122" s="1">
        <v>45047</v>
      </c>
      <c r="H122">
        <v>94525</v>
      </c>
      <c r="I122">
        <v>3781</v>
      </c>
    </row>
    <row r="123" spans="1:9" x14ac:dyDescent="0.35">
      <c r="A123" t="s">
        <v>22</v>
      </c>
      <c r="B123" t="s">
        <v>8</v>
      </c>
      <c r="C123" t="s">
        <v>9</v>
      </c>
      <c r="D123" t="s">
        <v>28</v>
      </c>
      <c r="E123">
        <v>8</v>
      </c>
      <c r="F123">
        <v>42786</v>
      </c>
      <c r="G123" s="1">
        <v>45048</v>
      </c>
      <c r="H123">
        <v>342288</v>
      </c>
      <c r="I123">
        <v>8557.2000000000007</v>
      </c>
    </row>
    <row r="124" spans="1:9" x14ac:dyDescent="0.35">
      <c r="A124" t="s">
        <v>23</v>
      </c>
      <c r="B124" t="s">
        <v>21</v>
      </c>
      <c r="C124" t="s">
        <v>19</v>
      </c>
      <c r="D124" t="s">
        <v>14</v>
      </c>
      <c r="E124">
        <v>1</v>
      </c>
      <c r="F124">
        <v>30398</v>
      </c>
      <c r="G124" s="1">
        <v>45049</v>
      </c>
      <c r="H124">
        <v>30398</v>
      </c>
      <c r="I124">
        <v>6079.6</v>
      </c>
    </row>
    <row r="125" spans="1:9" x14ac:dyDescent="0.35">
      <c r="A125" t="s">
        <v>7</v>
      </c>
      <c r="B125" t="s">
        <v>12</v>
      </c>
      <c r="C125" t="s">
        <v>19</v>
      </c>
      <c r="D125" t="s">
        <v>10</v>
      </c>
      <c r="E125">
        <v>9</v>
      </c>
      <c r="F125">
        <v>35268</v>
      </c>
      <c r="G125" s="1">
        <v>45050</v>
      </c>
      <c r="H125">
        <v>317412</v>
      </c>
      <c r="I125">
        <v>7053.6</v>
      </c>
    </row>
    <row r="126" spans="1:9" x14ac:dyDescent="0.35">
      <c r="A126" t="s">
        <v>31</v>
      </c>
      <c r="B126" t="s">
        <v>21</v>
      </c>
      <c r="C126" t="s">
        <v>13</v>
      </c>
      <c r="D126" t="s">
        <v>25</v>
      </c>
      <c r="E126">
        <v>6</v>
      </c>
      <c r="F126">
        <v>7737</v>
      </c>
      <c r="G126" s="1">
        <v>45051</v>
      </c>
      <c r="H126">
        <v>46422</v>
      </c>
      <c r="I126">
        <v>1547.4</v>
      </c>
    </row>
    <row r="127" spans="1:9" x14ac:dyDescent="0.35">
      <c r="A127" t="s">
        <v>11</v>
      </c>
      <c r="B127" t="s">
        <v>21</v>
      </c>
      <c r="C127" t="s">
        <v>16</v>
      </c>
      <c r="D127" t="s">
        <v>10</v>
      </c>
      <c r="E127">
        <v>3</v>
      </c>
      <c r="F127">
        <v>37062</v>
      </c>
      <c r="G127" s="1">
        <v>45052</v>
      </c>
      <c r="H127">
        <v>111186</v>
      </c>
      <c r="I127">
        <v>7412.4</v>
      </c>
    </row>
    <row r="128" spans="1:9" x14ac:dyDescent="0.35">
      <c r="A128" t="s">
        <v>11</v>
      </c>
      <c r="B128" t="s">
        <v>24</v>
      </c>
      <c r="C128" t="s">
        <v>13</v>
      </c>
      <c r="D128" t="s">
        <v>28</v>
      </c>
      <c r="E128">
        <v>8</v>
      </c>
      <c r="F128">
        <v>26510</v>
      </c>
      <c r="G128" s="1">
        <v>45053</v>
      </c>
      <c r="H128">
        <v>212080</v>
      </c>
      <c r="I128">
        <v>5302</v>
      </c>
    </row>
    <row r="129" spans="1:9" x14ac:dyDescent="0.35">
      <c r="A129" t="s">
        <v>18</v>
      </c>
      <c r="B129" t="s">
        <v>8</v>
      </c>
      <c r="C129" t="s">
        <v>13</v>
      </c>
      <c r="D129" t="s">
        <v>25</v>
      </c>
      <c r="E129">
        <v>9</v>
      </c>
      <c r="F129">
        <v>20426</v>
      </c>
      <c r="G129" s="1">
        <v>45054</v>
      </c>
      <c r="H129">
        <v>183834</v>
      </c>
      <c r="I129">
        <v>4085.2</v>
      </c>
    </row>
    <row r="130" spans="1:9" x14ac:dyDescent="0.35">
      <c r="A130" t="s">
        <v>7</v>
      </c>
      <c r="B130" t="s">
        <v>12</v>
      </c>
      <c r="C130" t="s">
        <v>16</v>
      </c>
      <c r="D130" t="s">
        <v>10</v>
      </c>
      <c r="E130">
        <v>6</v>
      </c>
      <c r="F130">
        <v>38265</v>
      </c>
      <c r="G130" s="1">
        <v>45055</v>
      </c>
      <c r="H130">
        <v>229590</v>
      </c>
      <c r="I130">
        <v>7653</v>
      </c>
    </row>
    <row r="131" spans="1:9" x14ac:dyDescent="0.35">
      <c r="A131" t="s">
        <v>7</v>
      </c>
      <c r="B131" t="s">
        <v>24</v>
      </c>
      <c r="C131" t="s">
        <v>16</v>
      </c>
      <c r="D131" t="s">
        <v>30</v>
      </c>
      <c r="E131">
        <v>7</v>
      </c>
      <c r="F131">
        <v>18850</v>
      </c>
      <c r="G131" s="1">
        <v>45056</v>
      </c>
      <c r="H131">
        <v>131950</v>
      </c>
      <c r="I131">
        <v>3770</v>
      </c>
    </row>
    <row r="132" spans="1:9" x14ac:dyDescent="0.35">
      <c r="A132" t="s">
        <v>11</v>
      </c>
      <c r="B132" t="s">
        <v>24</v>
      </c>
      <c r="C132" t="s">
        <v>16</v>
      </c>
      <c r="D132" t="s">
        <v>26</v>
      </c>
      <c r="E132">
        <v>1</v>
      </c>
      <c r="F132">
        <v>1614</v>
      </c>
      <c r="G132" s="1">
        <v>45057</v>
      </c>
      <c r="H132">
        <v>1614</v>
      </c>
      <c r="I132">
        <v>322.8</v>
      </c>
    </row>
    <row r="133" spans="1:9" x14ac:dyDescent="0.35">
      <c r="A133" t="s">
        <v>7</v>
      </c>
      <c r="B133" t="s">
        <v>12</v>
      </c>
      <c r="C133" t="s">
        <v>19</v>
      </c>
      <c r="D133" t="s">
        <v>28</v>
      </c>
      <c r="E133">
        <v>5</v>
      </c>
      <c r="F133">
        <v>22776</v>
      </c>
      <c r="G133" s="1">
        <v>45058</v>
      </c>
      <c r="H133">
        <v>113880</v>
      </c>
      <c r="I133">
        <v>4555.2</v>
      </c>
    </row>
    <row r="134" spans="1:9" x14ac:dyDescent="0.35">
      <c r="A134" t="s">
        <v>23</v>
      </c>
      <c r="B134" t="s">
        <v>21</v>
      </c>
      <c r="C134" t="s">
        <v>9</v>
      </c>
      <c r="D134" t="s">
        <v>10</v>
      </c>
      <c r="E134">
        <v>5</v>
      </c>
      <c r="F134">
        <v>25077</v>
      </c>
      <c r="G134" s="1">
        <v>45059</v>
      </c>
      <c r="H134">
        <v>125385</v>
      </c>
      <c r="I134">
        <v>5015.3999999999996</v>
      </c>
    </row>
    <row r="135" spans="1:9" x14ac:dyDescent="0.35">
      <c r="A135" t="s">
        <v>27</v>
      </c>
      <c r="B135" t="s">
        <v>24</v>
      </c>
      <c r="C135" t="s">
        <v>19</v>
      </c>
      <c r="D135" t="s">
        <v>28</v>
      </c>
      <c r="E135">
        <v>4</v>
      </c>
      <c r="F135">
        <v>10374</v>
      </c>
      <c r="G135" s="1">
        <v>45060</v>
      </c>
      <c r="H135">
        <v>41496</v>
      </c>
      <c r="I135">
        <v>2074.8000000000002</v>
      </c>
    </row>
    <row r="136" spans="1:9" x14ac:dyDescent="0.35">
      <c r="A136" t="s">
        <v>29</v>
      </c>
      <c r="B136" t="s">
        <v>21</v>
      </c>
      <c r="C136" t="s">
        <v>9</v>
      </c>
      <c r="D136" t="s">
        <v>17</v>
      </c>
      <c r="E136">
        <v>6</v>
      </c>
      <c r="F136">
        <v>36435</v>
      </c>
      <c r="G136" s="1">
        <v>45061</v>
      </c>
      <c r="H136">
        <v>218610</v>
      </c>
      <c r="I136">
        <v>7287</v>
      </c>
    </row>
    <row r="137" spans="1:9" x14ac:dyDescent="0.35">
      <c r="A137" t="s">
        <v>22</v>
      </c>
      <c r="B137" t="s">
        <v>8</v>
      </c>
      <c r="C137" t="s">
        <v>19</v>
      </c>
      <c r="D137" t="s">
        <v>28</v>
      </c>
      <c r="E137">
        <v>7</v>
      </c>
      <c r="F137">
        <v>31907</v>
      </c>
      <c r="G137" s="1">
        <v>45062</v>
      </c>
      <c r="H137">
        <v>223349</v>
      </c>
      <c r="I137">
        <v>6381.4</v>
      </c>
    </row>
    <row r="138" spans="1:9" x14ac:dyDescent="0.35">
      <c r="A138" t="s">
        <v>32</v>
      </c>
      <c r="B138" t="s">
        <v>21</v>
      </c>
      <c r="C138" t="s">
        <v>9</v>
      </c>
      <c r="D138" t="s">
        <v>25</v>
      </c>
      <c r="E138">
        <v>9</v>
      </c>
      <c r="F138">
        <v>14409</v>
      </c>
      <c r="G138" s="1">
        <v>45063</v>
      </c>
      <c r="H138">
        <v>129681</v>
      </c>
      <c r="I138">
        <v>2881.8</v>
      </c>
    </row>
    <row r="139" spans="1:9" x14ac:dyDescent="0.35">
      <c r="A139" t="s">
        <v>18</v>
      </c>
      <c r="B139" t="s">
        <v>8</v>
      </c>
      <c r="C139" t="s">
        <v>19</v>
      </c>
      <c r="D139" t="s">
        <v>17</v>
      </c>
      <c r="E139">
        <v>1</v>
      </c>
      <c r="F139">
        <v>17514</v>
      </c>
      <c r="G139" s="1">
        <v>45064</v>
      </c>
      <c r="H139">
        <v>17514</v>
      </c>
      <c r="I139">
        <v>3502.8</v>
      </c>
    </row>
    <row r="140" spans="1:9" x14ac:dyDescent="0.35">
      <c r="A140" t="s">
        <v>27</v>
      </c>
      <c r="B140" t="s">
        <v>21</v>
      </c>
      <c r="C140" t="s">
        <v>16</v>
      </c>
      <c r="D140" t="s">
        <v>20</v>
      </c>
      <c r="E140">
        <v>6</v>
      </c>
      <c r="F140">
        <v>30866</v>
      </c>
      <c r="G140" s="1">
        <v>45065</v>
      </c>
      <c r="H140">
        <v>185196</v>
      </c>
      <c r="I140">
        <v>6173.2</v>
      </c>
    </row>
    <row r="141" spans="1:9" x14ac:dyDescent="0.35">
      <c r="A141" t="s">
        <v>11</v>
      </c>
      <c r="B141" t="s">
        <v>24</v>
      </c>
      <c r="C141" t="s">
        <v>13</v>
      </c>
      <c r="D141" t="s">
        <v>25</v>
      </c>
      <c r="E141">
        <v>7</v>
      </c>
      <c r="F141">
        <v>3983</v>
      </c>
      <c r="G141" s="1">
        <v>45066</v>
      </c>
      <c r="H141">
        <v>27881</v>
      </c>
      <c r="I141">
        <v>796.6</v>
      </c>
    </row>
    <row r="142" spans="1:9" x14ac:dyDescent="0.35">
      <c r="A142" t="s">
        <v>22</v>
      </c>
      <c r="B142" t="s">
        <v>24</v>
      </c>
      <c r="C142" t="s">
        <v>19</v>
      </c>
      <c r="D142" t="s">
        <v>26</v>
      </c>
      <c r="E142">
        <v>3</v>
      </c>
      <c r="F142">
        <v>32705</v>
      </c>
      <c r="G142" s="1">
        <v>45067</v>
      </c>
      <c r="H142">
        <v>98115</v>
      </c>
      <c r="I142">
        <v>6541</v>
      </c>
    </row>
    <row r="143" spans="1:9" x14ac:dyDescent="0.35">
      <c r="A143" t="s">
        <v>7</v>
      </c>
      <c r="B143" t="s">
        <v>8</v>
      </c>
      <c r="C143" t="s">
        <v>9</v>
      </c>
      <c r="D143" t="s">
        <v>17</v>
      </c>
      <c r="E143">
        <v>8</v>
      </c>
      <c r="F143">
        <v>21662</v>
      </c>
      <c r="G143" s="1">
        <v>45068</v>
      </c>
      <c r="H143">
        <v>173296</v>
      </c>
      <c r="I143">
        <v>4332.3999999999996</v>
      </c>
    </row>
    <row r="144" spans="1:9" x14ac:dyDescent="0.35">
      <c r="A144" t="s">
        <v>32</v>
      </c>
      <c r="B144" t="s">
        <v>12</v>
      </c>
      <c r="C144" t="s">
        <v>16</v>
      </c>
      <c r="D144" t="s">
        <v>20</v>
      </c>
      <c r="E144">
        <v>5</v>
      </c>
      <c r="F144">
        <v>24510</v>
      </c>
      <c r="G144" s="1">
        <v>45069</v>
      </c>
      <c r="H144">
        <v>122550</v>
      </c>
      <c r="I144">
        <v>4902</v>
      </c>
    </row>
    <row r="145" spans="1:9" x14ac:dyDescent="0.35">
      <c r="A145" t="s">
        <v>7</v>
      </c>
      <c r="B145" t="s">
        <v>8</v>
      </c>
      <c r="C145" t="s">
        <v>19</v>
      </c>
      <c r="D145" t="s">
        <v>30</v>
      </c>
      <c r="E145">
        <v>9</v>
      </c>
      <c r="F145">
        <v>13651</v>
      </c>
      <c r="G145" s="1">
        <v>45070</v>
      </c>
      <c r="H145">
        <v>122859</v>
      </c>
      <c r="I145">
        <v>2730.2</v>
      </c>
    </row>
    <row r="146" spans="1:9" x14ac:dyDescent="0.35">
      <c r="A146" t="s">
        <v>31</v>
      </c>
      <c r="B146" t="s">
        <v>8</v>
      </c>
      <c r="C146" t="s">
        <v>19</v>
      </c>
      <c r="D146" t="s">
        <v>28</v>
      </c>
      <c r="E146">
        <v>5</v>
      </c>
      <c r="F146">
        <v>41998</v>
      </c>
      <c r="G146" s="1">
        <v>45071</v>
      </c>
      <c r="H146">
        <v>209990</v>
      </c>
      <c r="I146">
        <v>8399.6</v>
      </c>
    </row>
    <row r="147" spans="1:9" x14ac:dyDescent="0.35">
      <c r="A147" t="s">
        <v>31</v>
      </c>
      <c r="B147" t="s">
        <v>21</v>
      </c>
      <c r="C147" t="s">
        <v>16</v>
      </c>
      <c r="D147" t="s">
        <v>10</v>
      </c>
      <c r="E147">
        <v>9</v>
      </c>
      <c r="F147">
        <v>29535</v>
      </c>
      <c r="G147" s="1">
        <v>45072</v>
      </c>
      <c r="H147">
        <v>265815</v>
      </c>
      <c r="I147">
        <v>5907</v>
      </c>
    </row>
    <row r="148" spans="1:9" x14ac:dyDescent="0.35">
      <c r="A148" t="s">
        <v>32</v>
      </c>
      <c r="B148" t="s">
        <v>21</v>
      </c>
      <c r="C148" t="s">
        <v>19</v>
      </c>
      <c r="D148" t="s">
        <v>14</v>
      </c>
      <c r="E148">
        <v>4</v>
      </c>
      <c r="F148">
        <v>7640</v>
      </c>
      <c r="G148" s="1">
        <v>45073</v>
      </c>
      <c r="H148">
        <v>30560</v>
      </c>
      <c r="I148">
        <v>1528</v>
      </c>
    </row>
    <row r="149" spans="1:9" x14ac:dyDescent="0.35">
      <c r="A149" t="s">
        <v>32</v>
      </c>
      <c r="B149" t="s">
        <v>8</v>
      </c>
      <c r="C149" t="s">
        <v>13</v>
      </c>
      <c r="D149" t="s">
        <v>28</v>
      </c>
      <c r="E149">
        <v>9</v>
      </c>
      <c r="F149">
        <v>45547</v>
      </c>
      <c r="G149" s="1">
        <v>45074</v>
      </c>
      <c r="H149">
        <v>409923</v>
      </c>
      <c r="I149">
        <v>9109.4</v>
      </c>
    </row>
    <row r="150" spans="1:9" x14ac:dyDescent="0.35">
      <c r="A150" t="s">
        <v>11</v>
      </c>
      <c r="B150" t="s">
        <v>24</v>
      </c>
      <c r="C150" t="s">
        <v>19</v>
      </c>
      <c r="D150" t="s">
        <v>20</v>
      </c>
      <c r="E150">
        <v>5</v>
      </c>
      <c r="F150">
        <v>16317</v>
      </c>
      <c r="G150" s="1">
        <v>45075</v>
      </c>
      <c r="H150">
        <v>81585</v>
      </c>
      <c r="I150">
        <v>3263.4</v>
      </c>
    </row>
    <row r="151" spans="1:9" x14ac:dyDescent="0.35">
      <c r="A151" t="s">
        <v>32</v>
      </c>
      <c r="B151" t="s">
        <v>21</v>
      </c>
      <c r="C151" t="s">
        <v>13</v>
      </c>
      <c r="D151" t="s">
        <v>28</v>
      </c>
      <c r="E151">
        <v>9</v>
      </c>
      <c r="F151">
        <v>8564</v>
      </c>
      <c r="G151" s="1">
        <v>45076</v>
      </c>
      <c r="H151">
        <v>77076</v>
      </c>
      <c r="I151">
        <v>1712.8</v>
      </c>
    </row>
    <row r="152" spans="1:9" x14ac:dyDescent="0.35">
      <c r="A152" t="s">
        <v>23</v>
      </c>
      <c r="B152" t="s">
        <v>12</v>
      </c>
      <c r="C152" t="s">
        <v>13</v>
      </c>
      <c r="D152" t="s">
        <v>26</v>
      </c>
      <c r="E152">
        <v>3</v>
      </c>
      <c r="F152">
        <v>28345</v>
      </c>
      <c r="G152" s="1">
        <v>45077</v>
      </c>
      <c r="H152">
        <v>85035</v>
      </c>
      <c r="I152">
        <v>5669</v>
      </c>
    </row>
    <row r="153" spans="1:9" x14ac:dyDescent="0.35">
      <c r="A153" t="s">
        <v>7</v>
      </c>
      <c r="B153" t="s">
        <v>21</v>
      </c>
      <c r="C153" t="s">
        <v>16</v>
      </c>
      <c r="D153" t="s">
        <v>30</v>
      </c>
      <c r="E153">
        <v>4</v>
      </c>
      <c r="F153">
        <v>49288</v>
      </c>
      <c r="G153" s="1">
        <v>45078</v>
      </c>
      <c r="H153">
        <v>197152</v>
      </c>
      <c r="I153">
        <v>9857.6</v>
      </c>
    </row>
    <row r="154" spans="1:9" x14ac:dyDescent="0.35">
      <c r="A154" t="s">
        <v>27</v>
      </c>
      <c r="B154" t="s">
        <v>21</v>
      </c>
      <c r="C154" t="s">
        <v>19</v>
      </c>
      <c r="D154" t="s">
        <v>14</v>
      </c>
      <c r="E154">
        <v>9</v>
      </c>
      <c r="F154">
        <v>29687</v>
      </c>
      <c r="G154" s="1">
        <v>45079</v>
      </c>
      <c r="H154">
        <v>267183</v>
      </c>
      <c r="I154">
        <v>5937.4</v>
      </c>
    </row>
    <row r="155" spans="1:9" x14ac:dyDescent="0.35">
      <c r="A155" t="s">
        <v>15</v>
      </c>
      <c r="B155" t="s">
        <v>12</v>
      </c>
      <c r="C155" t="s">
        <v>16</v>
      </c>
      <c r="D155" t="s">
        <v>17</v>
      </c>
      <c r="E155">
        <v>6</v>
      </c>
      <c r="F155">
        <v>14737</v>
      </c>
      <c r="G155" s="1">
        <v>45080</v>
      </c>
      <c r="H155">
        <v>88422</v>
      </c>
      <c r="I155">
        <v>2947.4</v>
      </c>
    </row>
    <row r="156" spans="1:9" x14ac:dyDescent="0.35">
      <c r="A156" t="s">
        <v>32</v>
      </c>
      <c r="B156" t="s">
        <v>8</v>
      </c>
      <c r="C156" t="s">
        <v>19</v>
      </c>
      <c r="D156" t="s">
        <v>17</v>
      </c>
      <c r="E156">
        <v>2</v>
      </c>
      <c r="F156">
        <v>10323</v>
      </c>
      <c r="G156" s="1">
        <v>45081</v>
      </c>
      <c r="H156">
        <v>20646</v>
      </c>
      <c r="I156">
        <v>2064.6</v>
      </c>
    </row>
    <row r="157" spans="1:9" x14ac:dyDescent="0.35">
      <c r="A157" t="s">
        <v>18</v>
      </c>
      <c r="B157" t="s">
        <v>12</v>
      </c>
      <c r="C157" t="s">
        <v>19</v>
      </c>
      <c r="D157" t="s">
        <v>17</v>
      </c>
      <c r="E157">
        <v>7</v>
      </c>
      <c r="F157">
        <v>16229</v>
      </c>
      <c r="G157" s="1">
        <v>45082</v>
      </c>
      <c r="H157">
        <v>113603</v>
      </c>
      <c r="I157">
        <v>3245.8</v>
      </c>
    </row>
    <row r="158" spans="1:9" x14ac:dyDescent="0.35">
      <c r="A158" t="s">
        <v>31</v>
      </c>
      <c r="B158" t="s">
        <v>8</v>
      </c>
      <c r="C158" t="s">
        <v>9</v>
      </c>
      <c r="D158" t="s">
        <v>20</v>
      </c>
      <c r="E158">
        <v>2</v>
      </c>
      <c r="F158">
        <v>45481</v>
      </c>
      <c r="G158" s="1">
        <v>45083</v>
      </c>
      <c r="H158">
        <v>90962</v>
      </c>
      <c r="I158">
        <v>9096.2000000000007</v>
      </c>
    </row>
    <row r="159" spans="1:9" x14ac:dyDescent="0.35">
      <c r="A159" t="s">
        <v>23</v>
      </c>
      <c r="B159" t="s">
        <v>8</v>
      </c>
      <c r="C159" t="s">
        <v>19</v>
      </c>
      <c r="D159" t="s">
        <v>25</v>
      </c>
      <c r="E159">
        <v>2</v>
      </c>
      <c r="F159">
        <v>9502</v>
      </c>
      <c r="G159" s="1">
        <v>45084</v>
      </c>
      <c r="H159">
        <v>19004</v>
      </c>
      <c r="I159">
        <v>1900.4</v>
      </c>
    </row>
    <row r="160" spans="1:9" x14ac:dyDescent="0.35">
      <c r="A160" t="s">
        <v>22</v>
      </c>
      <c r="B160" t="s">
        <v>8</v>
      </c>
      <c r="C160" t="s">
        <v>16</v>
      </c>
      <c r="D160" t="s">
        <v>25</v>
      </c>
      <c r="E160">
        <v>1</v>
      </c>
      <c r="F160">
        <v>1545</v>
      </c>
      <c r="G160" s="1">
        <v>45085</v>
      </c>
      <c r="H160">
        <v>1545</v>
      </c>
      <c r="I160">
        <v>309</v>
      </c>
    </row>
    <row r="161" spans="1:9" x14ac:dyDescent="0.35">
      <c r="A161" t="s">
        <v>15</v>
      </c>
      <c r="B161" t="s">
        <v>12</v>
      </c>
      <c r="C161" t="s">
        <v>13</v>
      </c>
      <c r="D161" t="s">
        <v>10</v>
      </c>
      <c r="E161">
        <v>3</v>
      </c>
      <c r="F161">
        <v>38114</v>
      </c>
      <c r="G161" s="1">
        <v>45086</v>
      </c>
      <c r="H161">
        <v>114342</v>
      </c>
      <c r="I161">
        <v>7622.8</v>
      </c>
    </row>
    <row r="162" spans="1:9" x14ac:dyDescent="0.35">
      <c r="A162" t="s">
        <v>27</v>
      </c>
      <c r="B162" t="s">
        <v>8</v>
      </c>
      <c r="C162" t="s">
        <v>19</v>
      </c>
      <c r="D162" t="s">
        <v>14</v>
      </c>
      <c r="E162">
        <v>6</v>
      </c>
      <c r="F162">
        <v>30430</v>
      </c>
      <c r="G162" s="1">
        <v>45087</v>
      </c>
      <c r="H162">
        <v>182580</v>
      </c>
      <c r="I162">
        <v>6086</v>
      </c>
    </row>
    <row r="163" spans="1:9" x14ac:dyDescent="0.35">
      <c r="A163" t="s">
        <v>15</v>
      </c>
      <c r="B163" t="s">
        <v>24</v>
      </c>
      <c r="C163" t="s">
        <v>9</v>
      </c>
      <c r="D163" t="s">
        <v>17</v>
      </c>
      <c r="E163">
        <v>8</v>
      </c>
      <c r="F163">
        <v>10996</v>
      </c>
      <c r="G163" s="1">
        <v>45088</v>
      </c>
      <c r="H163">
        <v>87968</v>
      </c>
      <c r="I163">
        <v>2199.1999999999998</v>
      </c>
    </row>
    <row r="164" spans="1:9" x14ac:dyDescent="0.35">
      <c r="A164" t="s">
        <v>32</v>
      </c>
      <c r="B164" t="s">
        <v>12</v>
      </c>
      <c r="C164" t="s">
        <v>16</v>
      </c>
      <c r="D164" t="s">
        <v>25</v>
      </c>
      <c r="E164">
        <v>9</v>
      </c>
      <c r="F164">
        <v>28788</v>
      </c>
      <c r="G164" s="1">
        <v>45089</v>
      </c>
      <c r="H164">
        <v>259092</v>
      </c>
      <c r="I164">
        <v>5757.6</v>
      </c>
    </row>
    <row r="165" spans="1:9" x14ac:dyDescent="0.35">
      <c r="A165" t="s">
        <v>11</v>
      </c>
      <c r="B165" t="s">
        <v>24</v>
      </c>
      <c r="C165" t="s">
        <v>19</v>
      </c>
      <c r="D165" t="s">
        <v>20</v>
      </c>
      <c r="E165">
        <v>7</v>
      </c>
      <c r="F165">
        <v>30969</v>
      </c>
      <c r="G165" s="1">
        <v>45090</v>
      </c>
      <c r="H165">
        <v>216783</v>
      </c>
      <c r="I165">
        <v>6193.8</v>
      </c>
    </row>
    <row r="166" spans="1:9" x14ac:dyDescent="0.35">
      <c r="A166" t="s">
        <v>31</v>
      </c>
      <c r="B166" t="s">
        <v>8</v>
      </c>
      <c r="C166" t="s">
        <v>16</v>
      </c>
      <c r="D166" t="s">
        <v>10</v>
      </c>
      <c r="E166">
        <v>4</v>
      </c>
      <c r="F166">
        <v>49543</v>
      </c>
      <c r="G166" s="1">
        <v>45091</v>
      </c>
      <c r="H166">
        <v>198172</v>
      </c>
      <c r="I166">
        <v>9908.6</v>
      </c>
    </row>
    <row r="167" spans="1:9" x14ac:dyDescent="0.35">
      <c r="A167" t="s">
        <v>31</v>
      </c>
      <c r="B167" t="s">
        <v>21</v>
      </c>
      <c r="C167" t="s">
        <v>9</v>
      </c>
      <c r="D167" t="s">
        <v>30</v>
      </c>
      <c r="E167">
        <v>6</v>
      </c>
      <c r="F167">
        <v>14919</v>
      </c>
      <c r="G167" s="1">
        <v>45092</v>
      </c>
      <c r="H167">
        <v>89514</v>
      </c>
      <c r="I167">
        <v>2983.8</v>
      </c>
    </row>
    <row r="168" spans="1:9" x14ac:dyDescent="0.35">
      <c r="A168" t="s">
        <v>22</v>
      </c>
      <c r="B168" t="s">
        <v>8</v>
      </c>
      <c r="C168" t="s">
        <v>9</v>
      </c>
      <c r="D168" t="s">
        <v>10</v>
      </c>
      <c r="E168">
        <v>5</v>
      </c>
      <c r="F168">
        <v>4810</v>
      </c>
      <c r="G168" s="1">
        <v>45093</v>
      </c>
      <c r="H168">
        <v>24050</v>
      </c>
      <c r="I168">
        <v>962</v>
      </c>
    </row>
    <row r="169" spans="1:9" x14ac:dyDescent="0.35">
      <c r="A169" t="s">
        <v>11</v>
      </c>
      <c r="B169" t="s">
        <v>24</v>
      </c>
      <c r="C169" t="s">
        <v>16</v>
      </c>
      <c r="D169" t="s">
        <v>25</v>
      </c>
      <c r="E169">
        <v>8</v>
      </c>
      <c r="F169">
        <v>31586</v>
      </c>
      <c r="G169" s="1">
        <v>45094</v>
      </c>
      <c r="H169">
        <v>252688</v>
      </c>
      <c r="I169">
        <v>6317.2</v>
      </c>
    </row>
    <row r="170" spans="1:9" x14ac:dyDescent="0.35">
      <c r="A170" t="s">
        <v>7</v>
      </c>
      <c r="B170" t="s">
        <v>24</v>
      </c>
      <c r="C170" t="s">
        <v>19</v>
      </c>
      <c r="D170" t="s">
        <v>26</v>
      </c>
      <c r="E170">
        <v>1</v>
      </c>
      <c r="F170">
        <v>40974</v>
      </c>
      <c r="G170" s="1">
        <v>45095</v>
      </c>
      <c r="H170">
        <v>40974</v>
      </c>
      <c r="I170">
        <v>8194.7999999999993</v>
      </c>
    </row>
    <row r="171" spans="1:9" x14ac:dyDescent="0.35">
      <c r="A171" t="s">
        <v>29</v>
      </c>
      <c r="B171" t="s">
        <v>12</v>
      </c>
      <c r="C171" t="s">
        <v>13</v>
      </c>
      <c r="D171" t="s">
        <v>20</v>
      </c>
      <c r="E171">
        <v>1</v>
      </c>
      <c r="F171">
        <v>42773</v>
      </c>
      <c r="G171" s="1">
        <v>45096</v>
      </c>
      <c r="H171">
        <v>42773</v>
      </c>
      <c r="I171">
        <v>8554.6</v>
      </c>
    </row>
    <row r="172" spans="1:9" x14ac:dyDescent="0.35">
      <c r="A172" t="s">
        <v>23</v>
      </c>
      <c r="B172" t="s">
        <v>21</v>
      </c>
      <c r="C172" t="s">
        <v>9</v>
      </c>
      <c r="D172" t="s">
        <v>26</v>
      </c>
      <c r="E172">
        <v>6</v>
      </c>
      <c r="F172">
        <v>17371</v>
      </c>
      <c r="G172" s="1">
        <v>45097</v>
      </c>
      <c r="H172">
        <v>104226</v>
      </c>
      <c r="I172">
        <v>3474.2</v>
      </c>
    </row>
    <row r="173" spans="1:9" x14ac:dyDescent="0.35">
      <c r="A173" t="s">
        <v>31</v>
      </c>
      <c r="B173" t="s">
        <v>12</v>
      </c>
      <c r="C173" t="s">
        <v>19</v>
      </c>
      <c r="D173" t="s">
        <v>17</v>
      </c>
      <c r="E173">
        <v>2</v>
      </c>
      <c r="F173">
        <v>46084</v>
      </c>
      <c r="G173" s="1">
        <v>45098</v>
      </c>
      <c r="H173">
        <v>92168</v>
      </c>
      <c r="I173">
        <v>9216.7999999999993</v>
      </c>
    </row>
    <row r="174" spans="1:9" x14ac:dyDescent="0.35">
      <c r="A174" t="s">
        <v>18</v>
      </c>
      <c r="B174" t="s">
        <v>24</v>
      </c>
      <c r="C174" t="s">
        <v>19</v>
      </c>
      <c r="D174" t="s">
        <v>26</v>
      </c>
      <c r="E174">
        <v>5</v>
      </c>
      <c r="F174">
        <v>30629</v>
      </c>
      <c r="G174" s="1">
        <v>45099</v>
      </c>
      <c r="H174">
        <v>153145</v>
      </c>
      <c r="I174">
        <v>6125.8</v>
      </c>
    </row>
    <row r="175" spans="1:9" x14ac:dyDescent="0.35">
      <c r="A175" t="s">
        <v>31</v>
      </c>
      <c r="B175" t="s">
        <v>8</v>
      </c>
      <c r="C175" t="s">
        <v>13</v>
      </c>
      <c r="D175" t="s">
        <v>17</v>
      </c>
      <c r="E175">
        <v>1</v>
      </c>
      <c r="F175">
        <v>9436</v>
      </c>
      <c r="G175" s="1">
        <v>45100</v>
      </c>
      <c r="H175">
        <v>9436</v>
      </c>
      <c r="I175">
        <v>1887.2</v>
      </c>
    </row>
    <row r="176" spans="1:9" x14ac:dyDescent="0.35">
      <c r="A176" t="s">
        <v>15</v>
      </c>
      <c r="B176" t="s">
        <v>21</v>
      </c>
      <c r="C176" t="s">
        <v>9</v>
      </c>
      <c r="D176" t="s">
        <v>17</v>
      </c>
      <c r="E176">
        <v>7</v>
      </c>
      <c r="F176">
        <v>13984</v>
      </c>
      <c r="G176" s="1">
        <v>45101</v>
      </c>
      <c r="H176">
        <v>97888</v>
      </c>
      <c r="I176">
        <v>2796.8</v>
      </c>
    </row>
    <row r="177" spans="1:9" x14ac:dyDescent="0.35">
      <c r="A177" t="s">
        <v>31</v>
      </c>
      <c r="B177" t="s">
        <v>8</v>
      </c>
      <c r="C177" t="s">
        <v>9</v>
      </c>
      <c r="D177" t="s">
        <v>25</v>
      </c>
      <c r="E177">
        <v>1</v>
      </c>
      <c r="F177">
        <v>34039</v>
      </c>
      <c r="G177" s="1">
        <v>45102</v>
      </c>
      <c r="H177">
        <v>34039</v>
      </c>
      <c r="I177">
        <v>6807.8</v>
      </c>
    </row>
    <row r="178" spans="1:9" x14ac:dyDescent="0.35">
      <c r="A178" t="s">
        <v>31</v>
      </c>
      <c r="B178" t="s">
        <v>8</v>
      </c>
      <c r="C178" t="s">
        <v>19</v>
      </c>
      <c r="D178" t="s">
        <v>26</v>
      </c>
      <c r="E178">
        <v>4</v>
      </c>
      <c r="F178">
        <v>20895</v>
      </c>
      <c r="G178" s="1">
        <v>45103</v>
      </c>
      <c r="H178">
        <v>83580</v>
      </c>
      <c r="I178">
        <v>4179</v>
      </c>
    </row>
    <row r="179" spans="1:9" x14ac:dyDescent="0.35">
      <c r="A179" t="s">
        <v>29</v>
      </c>
      <c r="B179" t="s">
        <v>21</v>
      </c>
      <c r="C179" t="s">
        <v>19</v>
      </c>
      <c r="D179" t="s">
        <v>17</v>
      </c>
      <c r="E179">
        <v>9</v>
      </c>
      <c r="F179">
        <v>19155</v>
      </c>
      <c r="G179" s="1">
        <v>45104</v>
      </c>
      <c r="H179">
        <v>172395</v>
      </c>
      <c r="I179">
        <v>3831</v>
      </c>
    </row>
    <row r="180" spans="1:9" x14ac:dyDescent="0.35">
      <c r="A180" t="s">
        <v>29</v>
      </c>
      <c r="B180" t="s">
        <v>12</v>
      </c>
      <c r="C180" t="s">
        <v>13</v>
      </c>
      <c r="D180" t="s">
        <v>14</v>
      </c>
      <c r="E180">
        <v>1</v>
      </c>
      <c r="F180">
        <v>11616</v>
      </c>
      <c r="G180" s="1">
        <v>45105</v>
      </c>
      <c r="H180">
        <v>11616</v>
      </c>
      <c r="I180">
        <v>2323.1999999999998</v>
      </c>
    </row>
    <row r="181" spans="1:9" x14ac:dyDescent="0.35">
      <c r="A181" t="s">
        <v>27</v>
      </c>
      <c r="B181" t="s">
        <v>8</v>
      </c>
      <c r="C181" t="s">
        <v>13</v>
      </c>
      <c r="D181" t="s">
        <v>30</v>
      </c>
      <c r="E181">
        <v>4</v>
      </c>
      <c r="F181">
        <v>38129</v>
      </c>
      <c r="G181" s="1">
        <v>45106</v>
      </c>
      <c r="H181">
        <v>152516</v>
      </c>
      <c r="I181">
        <v>7625.8</v>
      </c>
    </row>
    <row r="182" spans="1:9" x14ac:dyDescent="0.35">
      <c r="A182" t="s">
        <v>7</v>
      </c>
      <c r="B182" t="s">
        <v>24</v>
      </c>
      <c r="C182" t="s">
        <v>9</v>
      </c>
      <c r="D182" t="s">
        <v>10</v>
      </c>
      <c r="E182">
        <v>6</v>
      </c>
      <c r="F182">
        <v>40837</v>
      </c>
      <c r="G182" s="1">
        <v>45107</v>
      </c>
      <c r="H182">
        <v>245022</v>
      </c>
      <c r="I182">
        <v>8167.4</v>
      </c>
    </row>
    <row r="183" spans="1:9" x14ac:dyDescent="0.35">
      <c r="A183" t="s">
        <v>18</v>
      </c>
      <c r="B183" t="s">
        <v>8</v>
      </c>
      <c r="C183" t="s">
        <v>16</v>
      </c>
      <c r="D183" t="s">
        <v>10</v>
      </c>
      <c r="E183">
        <v>6</v>
      </c>
      <c r="F183">
        <v>25574</v>
      </c>
      <c r="G183" s="1">
        <v>45108</v>
      </c>
      <c r="H183">
        <v>153444</v>
      </c>
      <c r="I183">
        <v>5114.8</v>
      </c>
    </row>
    <row r="184" spans="1:9" x14ac:dyDescent="0.35">
      <c r="A184" t="s">
        <v>31</v>
      </c>
      <c r="B184" t="s">
        <v>21</v>
      </c>
      <c r="C184" t="s">
        <v>9</v>
      </c>
      <c r="D184" t="s">
        <v>25</v>
      </c>
      <c r="E184">
        <v>8</v>
      </c>
      <c r="F184">
        <v>4430</v>
      </c>
      <c r="G184" s="1">
        <v>45109</v>
      </c>
      <c r="H184">
        <v>35440</v>
      </c>
      <c r="I184">
        <v>886</v>
      </c>
    </row>
    <row r="185" spans="1:9" x14ac:dyDescent="0.35">
      <c r="A185" t="s">
        <v>31</v>
      </c>
      <c r="B185" t="s">
        <v>21</v>
      </c>
      <c r="C185" t="s">
        <v>19</v>
      </c>
      <c r="D185" t="s">
        <v>26</v>
      </c>
      <c r="E185">
        <v>1</v>
      </c>
      <c r="F185">
        <v>13676</v>
      </c>
      <c r="G185" s="1">
        <v>45110</v>
      </c>
      <c r="H185">
        <v>13676</v>
      </c>
      <c r="I185">
        <v>2735.2</v>
      </c>
    </row>
    <row r="186" spans="1:9" x14ac:dyDescent="0.35">
      <c r="A186" t="s">
        <v>23</v>
      </c>
      <c r="B186" t="s">
        <v>21</v>
      </c>
      <c r="C186" t="s">
        <v>9</v>
      </c>
      <c r="D186" t="s">
        <v>26</v>
      </c>
      <c r="E186">
        <v>7</v>
      </c>
      <c r="F186">
        <v>11816</v>
      </c>
      <c r="G186" s="1">
        <v>45111</v>
      </c>
      <c r="H186">
        <v>82712</v>
      </c>
      <c r="I186">
        <v>2363.1999999999998</v>
      </c>
    </row>
    <row r="187" spans="1:9" x14ac:dyDescent="0.35">
      <c r="A187" t="s">
        <v>29</v>
      </c>
      <c r="B187" t="s">
        <v>12</v>
      </c>
      <c r="C187" t="s">
        <v>16</v>
      </c>
      <c r="D187" t="s">
        <v>17</v>
      </c>
      <c r="E187">
        <v>1</v>
      </c>
      <c r="F187">
        <v>33733</v>
      </c>
      <c r="G187" s="1">
        <v>45112</v>
      </c>
      <c r="H187">
        <v>33733</v>
      </c>
      <c r="I187">
        <v>6746.6</v>
      </c>
    </row>
    <row r="188" spans="1:9" x14ac:dyDescent="0.35">
      <c r="A188" t="s">
        <v>18</v>
      </c>
      <c r="B188" t="s">
        <v>8</v>
      </c>
      <c r="C188" t="s">
        <v>13</v>
      </c>
      <c r="D188" t="s">
        <v>20</v>
      </c>
      <c r="E188">
        <v>7</v>
      </c>
      <c r="F188">
        <v>21144</v>
      </c>
      <c r="G188" s="1">
        <v>45113</v>
      </c>
      <c r="H188">
        <v>148008</v>
      </c>
      <c r="I188">
        <v>4228.8</v>
      </c>
    </row>
    <row r="189" spans="1:9" x14ac:dyDescent="0.35">
      <c r="A189" t="s">
        <v>22</v>
      </c>
      <c r="B189" t="s">
        <v>12</v>
      </c>
      <c r="C189" t="s">
        <v>16</v>
      </c>
      <c r="D189" t="s">
        <v>28</v>
      </c>
      <c r="E189">
        <v>3</v>
      </c>
      <c r="F189">
        <v>3050</v>
      </c>
      <c r="G189" s="1">
        <v>45114</v>
      </c>
      <c r="H189">
        <v>9150</v>
      </c>
      <c r="I189">
        <v>610</v>
      </c>
    </row>
    <row r="190" spans="1:9" x14ac:dyDescent="0.35">
      <c r="A190" t="s">
        <v>27</v>
      </c>
      <c r="B190" t="s">
        <v>12</v>
      </c>
      <c r="C190" t="s">
        <v>16</v>
      </c>
      <c r="D190" t="s">
        <v>17</v>
      </c>
      <c r="E190">
        <v>8</v>
      </c>
      <c r="F190">
        <v>45460</v>
      </c>
      <c r="G190" s="1">
        <v>45115</v>
      </c>
      <c r="H190">
        <v>363680</v>
      </c>
      <c r="I190">
        <v>9092</v>
      </c>
    </row>
    <row r="191" spans="1:9" x14ac:dyDescent="0.35">
      <c r="A191" t="s">
        <v>7</v>
      </c>
      <c r="B191" t="s">
        <v>21</v>
      </c>
      <c r="C191" t="s">
        <v>16</v>
      </c>
      <c r="D191" t="s">
        <v>30</v>
      </c>
      <c r="E191">
        <v>3</v>
      </c>
      <c r="F191">
        <v>34933</v>
      </c>
      <c r="G191" s="1">
        <v>45116</v>
      </c>
      <c r="H191">
        <v>104799</v>
      </c>
      <c r="I191">
        <v>6986.6</v>
      </c>
    </row>
    <row r="192" spans="1:9" x14ac:dyDescent="0.35">
      <c r="A192" t="s">
        <v>11</v>
      </c>
      <c r="B192" t="s">
        <v>21</v>
      </c>
      <c r="C192" t="s">
        <v>13</v>
      </c>
      <c r="D192" t="s">
        <v>14</v>
      </c>
      <c r="E192">
        <v>1</v>
      </c>
      <c r="F192">
        <v>25951</v>
      </c>
      <c r="G192" s="1">
        <v>45117</v>
      </c>
      <c r="H192">
        <v>25951</v>
      </c>
      <c r="I192">
        <v>5190.2</v>
      </c>
    </row>
    <row r="193" spans="1:9" x14ac:dyDescent="0.35">
      <c r="A193" t="s">
        <v>7</v>
      </c>
      <c r="B193" t="s">
        <v>12</v>
      </c>
      <c r="C193" t="s">
        <v>16</v>
      </c>
      <c r="D193" t="s">
        <v>10</v>
      </c>
      <c r="E193">
        <v>8</v>
      </c>
      <c r="F193">
        <v>33413</v>
      </c>
      <c r="G193" s="1">
        <v>45118</v>
      </c>
      <c r="H193">
        <v>267304</v>
      </c>
      <c r="I193">
        <v>6682.6</v>
      </c>
    </row>
    <row r="194" spans="1:9" x14ac:dyDescent="0.35">
      <c r="A194" t="s">
        <v>15</v>
      </c>
      <c r="B194" t="s">
        <v>8</v>
      </c>
      <c r="C194" t="s">
        <v>16</v>
      </c>
      <c r="D194" t="s">
        <v>17</v>
      </c>
      <c r="E194">
        <v>3</v>
      </c>
      <c r="F194">
        <v>35801</v>
      </c>
      <c r="G194" s="1">
        <v>45119</v>
      </c>
      <c r="H194">
        <v>107403</v>
      </c>
      <c r="I194">
        <v>7160.2</v>
      </c>
    </row>
    <row r="195" spans="1:9" x14ac:dyDescent="0.35">
      <c r="A195" t="s">
        <v>31</v>
      </c>
      <c r="B195" t="s">
        <v>24</v>
      </c>
      <c r="C195" t="s">
        <v>16</v>
      </c>
      <c r="D195" t="s">
        <v>28</v>
      </c>
      <c r="E195">
        <v>2</v>
      </c>
      <c r="F195">
        <v>33913</v>
      </c>
      <c r="G195" s="1">
        <v>45120</v>
      </c>
      <c r="H195">
        <v>67826</v>
      </c>
      <c r="I195">
        <v>6782.6</v>
      </c>
    </row>
    <row r="196" spans="1:9" x14ac:dyDescent="0.35">
      <c r="A196" t="s">
        <v>27</v>
      </c>
      <c r="B196" t="s">
        <v>12</v>
      </c>
      <c r="C196" t="s">
        <v>19</v>
      </c>
      <c r="D196" t="s">
        <v>28</v>
      </c>
      <c r="E196">
        <v>1</v>
      </c>
      <c r="F196">
        <v>48037</v>
      </c>
      <c r="G196" s="1">
        <v>45121</v>
      </c>
      <c r="H196">
        <v>48037</v>
      </c>
      <c r="I196">
        <v>9607.4</v>
      </c>
    </row>
    <row r="197" spans="1:9" x14ac:dyDescent="0.35">
      <c r="A197" t="s">
        <v>15</v>
      </c>
      <c r="B197" t="s">
        <v>8</v>
      </c>
      <c r="C197" t="s">
        <v>16</v>
      </c>
      <c r="D197" t="s">
        <v>17</v>
      </c>
      <c r="E197">
        <v>3</v>
      </c>
      <c r="F197">
        <v>41600</v>
      </c>
      <c r="G197" s="1">
        <v>45122</v>
      </c>
      <c r="H197">
        <v>124800</v>
      </c>
      <c r="I197">
        <v>8320</v>
      </c>
    </row>
    <row r="198" spans="1:9" x14ac:dyDescent="0.35">
      <c r="A198" t="s">
        <v>18</v>
      </c>
      <c r="B198" t="s">
        <v>21</v>
      </c>
      <c r="C198" t="s">
        <v>13</v>
      </c>
      <c r="D198" t="s">
        <v>25</v>
      </c>
      <c r="E198">
        <v>2</v>
      </c>
      <c r="F198">
        <v>26280</v>
      </c>
      <c r="G198" s="1">
        <v>45123</v>
      </c>
      <c r="H198">
        <v>52560</v>
      </c>
      <c r="I198">
        <v>5256</v>
      </c>
    </row>
    <row r="199" spans="1:9" x14ac:dyDescent="0.35">
      <c r="A199" t="s">
        <v>11</v>
      </c>
      <c r="B199" t="s">
        <v>21</v>
      </c>
      <c r="C199" t="s">
        <v>16</v>
      </c>
      <c r="D199" t="s">
        <v>10</v>
      </c>
      <c r="E199">
        <v>2</v>
      </c>
      <c r="F199">
        <v>25557</v>
      </c>
      <c r="G199" s="1">
        <v>45124</v>
      </c>
      <c r="H199">
        <v>51114</v>
      </c>
      <c r="I199">
        <v>5111.3999999999996</v>
      </c>
    </row>
    <row r="200" spans="1:9" x14ac:dyDescent="0.35">
      <c r="A200" t="s">
        <v>29</v>
      </c>
      <c r="B200" t="s">
        <v>8</v>
      </c>
      <c r="C200" t="s">
        <v>16</v>
      </c>
      <c r="D200" t="s">
        <v>25</v>
      </c>
      <c r="E200">
        <v>6</v>
      </c>
      <c r="F200">
        <v>48054</v>
      </c>
      <c r="G200" s="1">
        <v>45125</v>
      </c>
      <c r="H200">
        <v>288324</v>
      </c>
      <c r="I200">
        <v>9610.7999999999993</v>
      </c>
    </row>
    <row r="201" spans="1:9" x14ac:dyDescent="0.35">
      <c r="A201" t="s">
        <v>27</v>
      </c>
      <c r="B201" t="s">
        <v>24</v>
      </c>
      <c r="C201" t="s">
        <v>13</v>
      </c>
      <c r="D201" t="s">
        <v>14</v>
      </c>
      <c r="E201">
        <v>1</v>
      </c>
      <c r="F201">
        <v>36400</v>
      </c>
      <c r="G201" s="1">
        <v>45126</v>
      </c>
      <c r="H201">
        <v>36400</v>
      </c>
      <c r="I201">
        <v>7280</v>
      </c>
    </row>
    <row r="202" spans="1:9" x14ac:dyDescent="0.35">
      <c r="A202" t="s">
        <v>27</v>
      </c>
      <c r="B202" t="s">
        <v>21</v>
      </c>
      <c r="C202" t="s">
        <v>16</v>
      </c>
      <c r="D202" t="s">
        <v>28</v>
      </c>
      <c r="E202">
        <v>2</v>
      </c>
      <c r="F202">
        <v>5494</v>
      </c>
      <c r="G202" s="1">
        <v>45127</v>
      </c>
      <c r="H202">
        <v>10988</v>
      </c>
      <c r="I202">
        <v>1098.8</v>
      </c>
    </row>
    <row r="203" spans="1:9" x14ac:dyDescent="0.35">
      <c r="A203" t="s">
        <v>31</v>
      </c>
      <c r="B203" t="s">
        <v>21</v>
      </c>
      <c r="C203" t="s">
        <v>13</v>
      </c>
      <c r="D203" t="s">
        <v>28</v>
      </c>
      <c r="E203">
        <v>6</v>
      </c>
      <c r="F203">
        <v>16152</v>
      </c>
      <c r="G203" s="1">
        <v>45128</v>
      </c>
      <c r="H203">
        <v>96912</v>
      </c>
      <c r="I203">
        <v>3230.4</v>
      </c>
    </row>
    <row r="204" spans="1:9" x14ac:dyDescent="0.35">
      <c r="A204" t="s">
        <v>32</v>
      </c>
      <c r="B204" t="s">
        <v>21</v>
      </c>
      <c r="C204" t="s">
        <v>16</v>
      </c>
      <c r="D204" t="s">
        <v>30</v>
      </c>
      <c r="E204">
        <v>3</v>
      </c>
      <c r="F204">
        <v>24895</v>
      </c>
      <c r="G204" s="1">
        <v>45129</v>
      </c>
      <c r="H204">
        <v>74685</v>
      </c>
      <c r="I204">
        <v>4979</v>
      </c>
    </row>
    <row r="205" spans="1:9" x14ac:dyDescent="0.35">
      <c r="A205" t="s">
        <v>27</v>
      </c>
      <c r="B205" t="s">
        <v>8</v>
      </c>
      <c r="C205" t="s">
        <v>13</v>
      </c>
      <c r="D205" t="s">
        <v>14</v>
      </c>
      <c r="E205">
        <v>4</v>
      </c>
      <c r="F205">
        <v>10155</v>
      </c>
      <c r="G205" s="1">
        <v>45130</v>
      </c>
      <c r="H205">
        <v>40620</v>
      </c>
      <c r="I205">
        <v>2031</v>
      </c>
    </row>
    <row r="206" spans="1:9" x14ac:dyDescent="0.35">
      <c r="A206" t="s">
        <v>23</v>
      </c>
      <c r="B206" t="s">
        <v>12</v>
      </c>
      <c r="C206" t="s">
        <v>16</v>
      </c>
      <c r="D206" t="s">
        <v>28</v>
      </c>
      <c r="E206">
        <v>1</v>
      </c>
      <c r="F206">
        <v>32883</v>
      </c>
      <c r="G206" s="1">
        <v>45131</v>
      </c>
      <c r="H206">
        <v>32883</v>
      </c>
      <c r="I206">
        <v>6576.6</v>
      </c>
    </row>
    <row r="207" spans="1:9" x14ac:dyDescent="0.35">
      <c r="A207" t="s">
        <v>11</v>
      </c>
      <c r="B207" t="s">
        <v>21</v>
      </c>
      <c r="C207" t="s">
        <v>16</v>
      </c>
      <c r="D207" t="s">
        <v>14</v>
      </c>
      <c r="E207">
        <v>8</v>
      </c>
      <c r="F207">
        <v>44194</v>
      </c>
      <c r="G207" s="1">
        <v>45132</v>
      </c>
      <c r="H207">
        <v>353552</v>
      </c>
      <c r="I207">
        <v>8838.7999999999993</v>
      </c>
    </row>
    <row r="208" spans="1:9" x14ac:dyDescent="0.35">
      <c r="A208" t="s">
        <v>11</v>
      </c>
      <c r="B208" t="s">
        <v>12</v>
      </c>
      <c r="C208" t="s">
        <v>19</v>
      </c>
      <c r="D208" t="s">
        <v>10</v>
      </c>
      <c r="E208">
        <v>7</v>
      </c>
      <c r="F208">
        <v>44001</v>
      </c>
      <c r="G208" s="1">
        <v>45133</v>
      </c>
      <c r="H208">
        <v>308007</v>
      </c>
      <c r="I208">
        <v>8800.2000000000007</v>
      </c>
    </row>
    <row r="209" spans="1:9" x14ac:dyDescent="0.35">
      <c r="A209" t="s">
        <v>23</v>
      </c>
      <c r="B209" t="s">
        <v>24</v>
      </c>
      <c r="C209" t="s">
        <v>19</v>
      </c>
      <c r="D209" t="s">
        <v>26</v>
      </c>
      <c r="E209">
        <v>7</v>
      </c>
      <c r="F209">
        <v>2828</v>
      </c>
      <c r="G209" s="1">
        <v>45134</v>
      </c>
      <c r="H209">
        <v>19796</v>
      </c>
      <c r="I209">
        <v>565.6</v>
      </c>
    </row>
    <row r="210" spans="1:9" x14ac:dyDescent="0.35">
      <c r="A210" t="s">
        <v>22</v>
      </c>
      <c r="B210" t="s">
        <v>21</v>
      </c>
      <c r="C210" t="s">
        <v>16</v>
      </c>
      <c r="D210" t="s">
        <v>28</v>
      </c>
      <c r="E210">
        <v>3</v>
      </c>
      <c r="F210">
        <v>46028</v>
      </c>
      <c r="G210" s="1">
        <v>45135</v>
      </c>
      <c r="H210">
        <v>138084</v>
      </c>
      <c r="I210">
        <v>9205.6</v>
      </c>
    </row>
    <row r="211" spans="1:9" x14ac:dyDescent="0.35">
      <c r="A211" t="s">
        <v>23</v>
      </c>
      <c r="B211" t="s">
        <v>21</v>
      </c>
      <c r="C211" t="s">
        <v>16</v>
      </c>
      <c r="D211" t="s">
        <v>30</v>
      </c>
      <c r="E211">
        <v>3</v>
      </c>
      <c r="F211">
        <v>42898</v>
      </c>
      <c r="G211" s="1">
        <v>45136</v>
      </c>
      <c r="H211">
        <v>128694</v>
      </c>
      <c r="I211">
        <v>8579.6</v>
      </c>
    </row>
    <row r="212" spans="1:9" x14ac:dyDescent="0.35">
      <c r="A212" t="s">
        <v>23</v>
      </c>
      <c r="B212" t="s">
        <v>24</v>
      </c>
      <c r="C212" t="s">
        <v>9</v>
      </c>
      <c r="D212" t="s">
        <v>10</v>
      </c>
      <c r="E212">
        <v>2</v>
      </c>
      <c r="F212">
        <v>33123</v>
      </c>
      <c r="G212" s="1">
        <v>45137</v>
      </c>
      <c r="H212">
        <v>66246</v>
      </c>
      <c r="I212">
        <v>6624.6</v>
      </c>
    </row>
    <row r="213" spans="1:9" x14ac:dyDescent="0.35">
      <c r="A213" t="s">
        <v>11</v>
      </c>
      <c r="B213" t="s">
        <v>21</v>
      </c>
      <c r="C213" t="s">
        <v>13</v>
      </c>
      <c r="D213" t="s">
        <v>17</v>
      </c>
      <c r="E213">
        <v>1</v>
      </c>
      <c r="F213">
        <v>38573</v>
      </c>
      <c r="G213" s="1">
        <v>45138</v>
      </c>
      <c r="H213">
        <v>38573</v>
      </c>
      <c r="I213">
        <v>7714.6</v>
      </c>
    </row>
    <row r="214" spans="1:9" x14ac:dyDescent="0.35">
      <c r="A214" t="s">
        <v>7</v>
      </c>
      <c r="B214" t="s">
        <v>12</v>
      </c>
      <c r="C214" t="s">
        <v>9</v>
      </c>
      <c r="D214" t="s">
        <v>14</v>
      </c>
      <c r="E214">
        <v>7</v>
      </c>
      <c r="F214">
        <v>1806</v>
      </c>
      <c r="G214" s="1">
        <v>45139</v>
      </c>
      <c r="H214">
        <v>12642</v>
      </c>
      <c r="I214">
        <v>361.2</v>
      </c>
    </row>
    <row r="215" spans="1:9" x14ac:dyDescent="0.35">
      <c r="A215" t="s">
        <v>11</v>
      </c>
      <c r="B215" t="s">
        <v>8</v>
      </c>
      <c r="C215" t="s">
        <v>19</v>
      </c>
      <c r="D215" t="s">
        <v>17</v>
      </c>
      <c r="E215">
        <v>7</v>
      </c>
      <c r="F215">
        <v>41970</v>
      </c>
      <c r="G215" s="1">
        <v>45140</v>
      </c>
      <c r="H215">
        <v>293790</v>
      </c>
      <c r="I215">
        <v>8394</v>
      </c>
    </row>
    <row r="216" spans="1:9" x14ac:dyDescent="0.35">
      <c r="A216" t="s">
        <v>32</v>
      </c>
      <c r="B216" t="s">
        <v>12</v>
      </c>
      <c r="C216" t="s">
        <v>19</v>
      </c>
      <c r="D216" t="s">
        <v>25</v>
      </c>
      <c r="E216">
        <v>2</v>
      </c>
      <c r="F216">
        <v>30757</v>
      </c>
      <c r="G216" s="1">
        <v>45141</v>
      </c>
      <c r="H216">
        <v>61514</v>
      </c>
      <c r="I216">
        <v>6151.4</v>
      </c>
    </row>
    <row r="217" spans="1:9" x14ac:dyDescent="0.35">
      <c r="A217" t="s">
        <v>31</v>
      </c>
      <c r="B217" t="s">
        <v>8</v>
      </c>
      <c r="C217" t="s">
        <v>19</v>
      </c>
      <c r="D217" t="s">
        <v>10</v>
      </c>
      <c r="E217">
        <v>7</v>
      </c>
      <c r="F217">
        <v>35636</v>
      </c>
      <c r="G217" s="1">
        <v>45142</v>
      </c>
      <c r="H217">
        <v>249452</v>
      </c>
      <c r="I217">
        <v>7127.2</v>
      </c>
    </row>
    <row r="218" spans="1:9" x14ac:dyDescent="0.35">
      <c r="A218" t="s">
        <v>15</v>
      </c>
      <c r="B218" t="s">
        <v>8</v>
      </c>
      <c r="C218" t="s">
        <v>19</v>
      </c>
      <c r="D218" t="s">
        <v>17</v>
      </c>
      <c r="E218">
        <v>8</v>
      </c>
      <c r="F218">
        <v>15561</v>
      </c>
      <c r="G218" s="1">
        <v>45143</v>
      </c>
      <c r="H218">
        <v>124488</v>
      </c>
      <c r="I218">
        <v>3112.2</v>
      </c>
    </row>
    <row r="219" spans="1:9" x14ac:dyDescent="0.35">
      <c r="A219" t="s">
        <v>7</v>
      </c>
      <c r="B219" t="s">
        <v>12</v>
      </c>
      <c r="C219" t="s">
        <v>16</v>
      </c>
      <c r="D219" t="s">
        <v>20</v>
      </c>
      <c r="E219">
        <v>1</v>
      </c>
      <c r="F219">
        <v>49280</v>
      </c>
      <c r="G219" s="1">
        <v>45144</v>
      </c>
      <c r="H219">
        <v>49280</v>
      </c>
      <c r="I219">
        <v>9856</v>
      </c>
    </row>
    <row r="220" spans="1:9" x14ac:dyDescent="0.35">
      <c r="A220" t="s">
        <v>29</v>
      </c>
      <c r="B220" t="s">
        <v>12</v>
      </c>
      <c r="C220" t="s">
        <v>19</v>
      </c>
      <c r="D220" t="s">
        <v>20</v>
      </c>
      <c r="E220">
        <v>9</v>
      </c>
      <c r="F220">
        <v>25262</v>
      </c>
      <c r="G220" s="1">
        <v>45145</v>
      </c>
      <c r="H220">
        <v>227358</v>
      </c>
      <c r="I220">
        <v>5052.3999999999996</v>
      </c>
    </row>
    <row r="221" spans="1:9" x14ac:dyDescent="0.35">
      <c r="A221" t="s">
        <v>15</v>
      </c>
      <c r="B221" t="s">
        <v>12</v>
      </c>
      <c r="C221" t="s">
        <v>16</v>
      </c>
      <c r="D221" t="s">
        <v>28</v>
      </c>
      <c r="E221">
        <v>7</v>
      </c>
      <c r="F221">
        <v>15899</v>
      </c>
      <c r="G221" s="1">
        <v>45146</v>
      </c>
      <c r="H221">
        <v>111293</v>
      </c>
      <c r="I221">
        <v>3179.8</v>
      </c>
    </row>
    <row r="222" spans="1:9" x14ac:dyDescent="0.35">
      <c r="A222" t="s">
        <v>31</v>
      </c>
      <c r="B222" t="s">
        <v>12</v>
      </c>
      <c r="C222" t="s">
        <v>16</v>
      </c>
      <c r="D222" t="s">
        <v>14</v>
      </c>
      <c r="E222">
        <v>3</v>
      </c>
      <c r="F222">
        <v>49988</v>
      </c>
      <c r="G222" s="1">
        <v>45147</v>
      </c>
      <c r="H222">
        <v>149964</v>
      </c>
      <c r="I222">
        <v>9997.6</v>
      </c>
    </row>
    <row r="223" spans="1:9" x14ac:dyDescent="0.35">
      <c r="A223" t="s">
        <v>32</v>
      </c>
      <c r="B223" t="s">
        <v>24</v>
      </c>
      <c r="C223" t="s">
        <v>19</v>
      </c>
      <c r="D223" t="s">
        <v>26</v>
      </c>
      <c r="E223">
        <v>8</v>
      </c>
      <c r="F223">
        <v>16934</v>
      </c>
      <c r="G223" s="1">
        <v>45148</v>
      </c>
      <c r="H223">
        <v>135472</v>
      </c>
      <c r="I223">
        <v>3386.8</v>
      </c>
    </row>
    <row r="224" spans="1:9" x14ac:dyDescent="0.35">
      <c r="A224" t="s">
        <v>32</v>
      </c>
      <c r="B224" t="s">
        <v>21</v>
      </c>
      <c r="C224" t="s">
        <v>19</v>
      </c>
      <c r="D224" t="s">
        <v>10</v>
      </c>
      <c r="E224">
        <v>7</v>
      </c>
      <c r="F224">
        <v>39197</v>
      </c>
      <c r="G224" s="1">
        <v>45149</v>
      </c>
      <c r="H224">
        <v>274379</v>
      </c>
      <c r="I224">
        <v>7839.4</v>
      </c>
    </row>
    <row r="225" spans="1:9" x14ac:dyDescent="0.35">
      <c r="A225" t="s">
        <v>29</v>
      </c>
      <c r="B225" t="s">
        <v>8</v>
      </c>
      <c r="C225" t="s">
        <v>13</v>
      </c>
      <c r="D225" t="s">
        <v>28</v>
      </c>
      <c r="E225">
        <v>8</v>
      </c>
      <c r="F225">
        <v>42844</v>
      </c>
      <c r="G225" s="1">
        <v>45150</v>
      </c>
      <c r="H225">
        <v>342752</v>
      </c>
      <c r="I225">
        <v>8568.7999999999993</v>
      </c>
    </row>
    <row r="226" spans="1:9" x14ac:dyDescent="0.35">
      <c r="A226" t="s">
        <v>7</v>
      </c>
      <c r="B226" t="s">
        <v>12</v>
      </c>
      <c r="C226" t="s">
        <v>9</v>
      </c>
      <c r="D226" t="s">
        <v>30</v>
      </c>
      <c r="E226">
        <v>6</v>
      </c>
      <c r="F226">
        <v>37332</v>
      </c>
      <c r="G226" s="1">
        <v>45151</v>
      </c>
      <c r="H226">
        <v>223992</v>
      </c>
      <c r="I226">
        <v>7466.4</v>
      </c>
    </row>
    <row r="227" spans="1:9" x14ac:dyDescent="0.35">
      <c r="A227" t="s">
        <v>22</v>
      </c>
      <c r="B227" t="s">
        <v>12</v>
      </c>
      <c r="C227" t="s">
        <v>19</v>
      </c>
      <c r="D227" t="s">
        <v>25</v>
      </c>
      <c r="E227">
        <v>9</v>
      </c>
      <c r="F227">
        <v>35157</v>
      </c>
      <c r="G227" s="1">
        <v>45152</v>
      </c>
      <c r="H227">
        <v>316413</v>
      </c>
      <c r="I227">
        <v>7031.4</v>
      </c>
    </row>
    <row r="228" spans="1:9" x14ac:dyDescent="0.35">
      <c r="A228" t="s">
        <v>23</v>
      </c>
      <c r="B228" t="s">
        <v>12</v>
      </c>
      <c r="C228" t="s">
        <v>13</v>
      </c>
      <c r="D228" t="s">
        <v>14</v>
      </c>
      <c r="E228">
        <v>5</v>
      </c>
      <c r="F228">
        <v>12593</v>
      </c>
      <c r="G228" s="1">
        <v>45153</v>
      </c>
      <c r="H228">
        <v>62965</v>
      </c>
      <c r="I228">
        <v>2518.6</v>
      </c>
    </row>
    <row r="229" spans="1:9" x14ac:dyDescent="0.35">
      <c r="A229" t="s">
        <v>7</v>
      </c>
      <c r="B229" t="s">
        <v>24</v>
      </c>
      <c r="C229" t="s">
        <v>13</v>
      </c>
      <c r="D229" t="s">
        <v>10</v>
      </c>
      <c r="E229">
        <v>3</v>
      </c>
      <c r="F229">
        <v>41042</v>
      </c>
      <c r="G229" s="1">
        <v>45154</v>
      </c>
      <c r="H229">
        <v>123126</v>
      </c>
      <c r="I229">
        <v>8208.4</v>
      </c>
    </row>
    <row r="230" spans="1:9" x14ac:dyDescent="0.35">
      <c r="A230" t="s">
        <v>22</v>
      </c>
      <c r="B230" t="s">
        <v>12</v>
      </c>
      <c r="C230" t="s">
        <v>9</v>
      </c>
      <c r="D230" t="s">
        <v>20</v>
      </c>
      <c r="E230">
        <v>3</v>
      </c>
      <c r="F230">
        <v>18320</v>
      </c>
      <c r="G230" s="1">
        <v>45155</v>
      </c>
      <c r="H230">
        <v>54960</v>
      </c>
      <c r="I230">
        <v>3664</v>
      </c>
    </row>
    <row r="231" spans="1:9" x14ac:dyDescent="0.35">
      <c r="A231" t="s">
        <v>32</v>
      </c>
      <c r="B231" t="s">
        <v>12</v>
      </c>
      <c r="C231" t="s">
        <v>16</v>
      </c>
      <c r="D231" t="s">
        <v>10</v>
      </c>
      <c r="E231">
        <v>1</v>
      </c>
      <c r="F231">
        <v>28376</v>
      </c>
      <c r="G231" s="1">
        <v>45156</v>
      </c>
      <c r="H231">
        <v>28376</v>
      </c>
      <c r="I231">
        <v>5675.2</v>
      </c>
    </row>
    <row r="232" spans="1:9" x14ac:dyDescent="0.35">
      <c r="A232" t="s">
        <v>11</v>
      </c>
      <c r="B232" t="s">
        <v>12</v>
      </c>
      <c r="C232" t="s">
        <v>19</v>
      </c>
      <c r="D232" t="s">
        <v>26</v>
      </c>
      <c r="E232">
        <v>8</v>
      </c>
      <c r="F232">
        <v>44513</v>
      </c>
      <c r="G232" s="1">
        <v>45157</v>
      </c>
      <c r="H232">
        <v>356104</v>
      </c>
      <c r="I232">
        <v>8902.6</v>
      </c>
    </row>
    <row r="233" spans="1:9" x14ac:dyDescent="0.35">
      <c r="A233" t="s">
        <v>31</v>
      </c>
      <c r="B233" t="s">
        <v>21</v>
      </c>
      <c r="C233" t="s">
        <v>9</v>
      </c>
      <c r="D233" t="s">
        <v>20</v>
      </c>
      <c r="E233">
        <v>2</v>
      </c>
      <c r="F233">
        <v>15199</v>
      </c>
      <c r="G233" s="1">
        <v>45158</v>
      </c>
      <c r="H233">
        <v>30398</v>
      </c>
      <c r="I233">
        <v>3039.8</v>
      </c>
    </row>
    <row r="234" spans="1:9" x14ac:dyDescent="0.35">
      <c r="A234" t="s">
        <v>29</v>
      </c>
      <c r="B234" t="s">
        <v>24</v>
      </c>
      <c r="C234" t="s">
        <v>19</v>
      </c>
      <c r="D234" t="s">
        <v>26</v>
      </c>
      <c r="E234">
        <v>3</v>
      </c>
      <c r="F234">
        <v>16876</v>
      </c>
      <c r="G234" s="1">
        <v>45159</v>
      </c>
      <c r="H234">
        <v>50628</v>
      </c>
      <c r="I234">
        <v>3375.2</v>
      </c>
    </row>
    <row r="235" spans="1:9" x14ac:dyDescent="0.35">
      <c r="A235" t="s">
        <v>31</v>
      </c>
      <c r="B235" t="s">
        <v>12</v>
      </c>
      <c r="C235" t="s">
        <v>13</v>
      </c>
      <c r="D235" t="s">
        <v>30</v>
      </c>
      <c r="E235">
        <v>8</v>
      </c>
      <c r="F235">
        <v>9245</v>
      </c>
      <c r="G235" s="1">
        <v>45160</v>
      </c>
      <c r="H235">
        <v>73960</v>
      </c>
      <c r="I235">
        <v>1849</v>
      </c>
    </row>
    <row r="236" spans="1:9" x14ac:dyDescent="0.35">
      <c r="A236" t="s">
        <v>18</v>
      </c>
      <c r="B236" t="s">
        <v>8</v>
      </c>
      <c r="C236" t="s">
        <v>13</v>
      </c>
      <c r="D236" t="s">
        <v>25</v>
      </c>
      <c r="E236">
        <v>8</v>
      </c>
      <c r="F236">
        <v>8214</v>
      </c>
      <c r="G236" s="1">
        <v>45161</v>
      </c>
      <c r="H236">
        <v>65712</v>
      </c>
      <c r="I236">
        <v>1642.8</v>
      </c>
    </row>
    <row r="237" spans="1:9" x14ac:dyDescent="0.35">
      <c r="A237" t="s">
        <v>18</v>
      </c>
      <c r="B237" t="s">
        <v>8</v>
      </c>
      <c r="C237" t="s">
        <v>16</v>
      </c>
      <c r="D237" t="s">
        <v>30</v>
      </c>
      <c r="E237">
        <v>4</v>
      </c>
      <c r="F237">
        <v>1726</v>
      </c>
      <c r="G237" s="1">
        <v>45162</v>
      </c>
      <c r="H237">
        <v>6904</v>
      </c>
      <c r="I237">
        <v>345.2</v>
      </c>
    </row>
    <row r="238" spans="1:9" x14ac:dyDescent="0.35">
      <c r="A238" t="s">
        <v>7</v>
      </c>
      <c r="B238" t="s">
        <v>8</v>
      </c>
      <c r="C238" t="s">
        <v>13</v>
      </c>
      <c r="D238" t="s">
        <v>28</v>
      </c>
      <c r="E238">
        <v>4</v>
      </c>
      <c r="F238">
        <v>47600</v>
      </c>
      <c r="G238" s="1">
        <v>45163</v>
      </c>
      <c r="H238">
        <v>190400</v>
      </c>
      <c r="I238">
        <v>9520</v>
      </c>
    </row>
    <row r="239" spans="1:9" x14ac:dyDescent="0.35">
      <c r="A239" t="s">
        <v>32</v>
      </c>
      <c r="B239" t="s">
        <v>24</v>
      </c>
      <c r="C239" t="s">
        <v>13</v>
      </c>
      <c r="D239" t="s">
        <v>28</v>
      </c>
      <c r="E239">
        <v>5</v>
      </c>
      <c r="F239">
        <v>12362</v>
      </c>
      <c r="G239" s="1">
        <v>45164</v>
      </c>
      <c r="H239">
        <v>61810</v>
      </c>
      <c r="I239">
        <v>2472.4</v>
      </c>
    </row>
    <row r="240" spans="1:9" x14ac:dyDescent="0.35">
      <c r="A240" t="s">
        <v>32</v>
      </c>
      <c r="B240" t="s">
        <v>24</v>
      </c>
      <c r="C240" t="s">
        <v>9</v>
      </c>
      <c r="D240" t="s">
        <v>30</v>
      </c>
      <c r="E240">
        <v>6</v>
      </c>
      <c r="F240">
        <v>19297</v>
      </c>
      <c r="G240" s="1">
        <v>45165</v>
      </c>
      <c r="H240">
        <v>115782</v>
      </c>
      <c r="I240">
        <v>3859.4</v>
      </c>
    </row>
    <row r="241" spans="1:9" x14ac:dyDescent="0.35">
      <c r="A241" t="s">
        <v>23</v>
      </c>
      <c r="B241" t="s">
        <v>8</v>
      </c>
      <c r="C241" t="s">
        <v>19</v>
      </c>
      <c r="D241" t="s">
        <v>25</v>
      </c>
      <c r="E241">
        <v>5</v>
      </c>
      <c r="F241">
        <v>31448</v>
      </c>
      <c r="G241" s="1">
        <v>45166</v>
      </c>
      <c r="H241">
        <v>157240</v>
      </c>
      <c r="I241">
        <v>6289.6</v>
      </c>
    </row>
    <row r="242" spans="1:9" x14ac:dyDescent="0.35">
      <c r="A242" t="s">
        <v>23</v>
      </c>
      <c r="B242" t="s">
        <v>12</v>
      </c>
      <c r="C242" t="s">
        <v>19</v>
      </c>
      <c r="D242" t="s">
        <v>30</v>
      </c>
      <c r="E242">
        <v>7</v>
      </c>
      <c r="F242">
        <v>27172</v>
      </c>
      <c r="G242" s="1">
        <v>45167</v>
      </c>
      <c r="H242">
        <v>190204</v>
      </c>
      <c r="I242">
        <v>5434.4</v>
      </c>
    </row>
    <row r="243" spans="1:9" x14ac:dyDescent="0.35">
      <c r="A243" t="s">
        <v>23</v>
      </c>
      <c r="B243" t="s">
        <v>24</v>
      </c>
      <c r="C243" t="s">
        <v>9</v>
      </c>
      <c r="D243" t="s">
        <v>25</v>
      </c>
      <c r="E243">
        <v>2</v>
      </c>
      <c r="F243">
        <v>43874</v>
      </c>
      <c r="G243" s="1">
        <v>45168</v>
      </c>
      <c r="H243">
        <v>87748</v>
      </c>
      <c r="I243">
        <v>8774.7999999999993</v>
      </c>
    </row>
    <row r="244" spans="1:9" x14ac:dyDescent="0.35">
      <c r="A244" t="s">
        <v>11</v>
      </c>
      <c r="B244" t="s">
        <v>8</v>
      </c>
      <c r="C244" t="s">
        <v>16</v>
      </c>
      <c r="D244" t="s">
        <v>25</v>
      </c>
      <c r="E244">
        <v>7</v>
      </c>
      <c r="F244">
        <v>8657</v>
      </c>
      <c r="G244" s="1">
        <v>45169</v>
      </c>
      <c r="H244">
        <v>60599</v>
      </c>
      <c r="I244">
        <v>1731.4</v>
      </c>
    </row>
    <row r="245" spans="1:9" x14ac:dyDescent="0.35">
      <c r="A245" t="s">
        <v>15</v>
      </c>
      <c r="B245" t="s">
        <v>8</v>
      </c>
      <c r="C245" t="s">
        <v>19</v>
      </c>
      <c r="D245" t="s">
        <v>17</v>
      </c>
      <c r="E245">
        <v>7</v>
      </c>
      <c r="F245">
        <v>19850</v>
      </c>
      <c r="G245" s="1">
        <v>45170</v>
      </c>
      <c r="H245">
        <v>138950</v>
      </c>
      <c r="I245">
        <v>3970</v>
      </c>
    </row>
    <row r="246" spans="1:9" x14ac:dyDescent="0.35">
      <c r="A246" t="s">
        <v>27</v>
      </c>
      <c r="B246" t="s">
        <v>12</v>
      </c>
      <c r="C246" t="s">
        <v>13</v>
      </c>
      <c r="D246" t="s">
        <v>20</v>
      </c>
      <c r="E246">
        <v>1</v>
      </c>
      <c r="F246">
        <v>26425</v>
      </c>
      <c r="G246" s="1">
        <v>45171</v>
      </c>
      <c r="H246">
        <v>26425</v>
      </c>
      <c r="I246">
        <v>5285</v>
      </c>
    </row>
    <row r="247" spans="1:9" x14ac:dyDescent="0.35">
      <c r="A247" t="s">
        <v>15</v>
      </c>
      <c r="B247" t="s">
        <v>21</v>
      </c>
      <c r="C247" t="s">
        <v>19</v>
      </c>
      <c r="D247" t="s">
        <v>14</v>
      </c>
      <c r="E247">
        <v>7</v>
      </c>
      <c r="F247">
        <v>27685</v>
      </c>
      <c r="G247" s="1">
        <v>45172</v>
      </c>
      <c r="H247">
        <v>193795</v>
      </c>
      <c r="I247">
        <v>5537</v>
      </c>
    </row>
    <row r="248" spans="1:9" x14ac:dyDescent="0.35">
      <c r="A248" t="s">
        <v>31</v>
      </c>
      <c r="B248" t="s">
        <v>24</v>
      </c>
      <c r="C248" t="s">
        <v>13</v>
      </c>
      <c r="D248" t="s">
        <v>25</v>
      </c>
      <c r="E248">
        <v>5</v>
      </c>
      <c r="F248">
        <v>48319</v>
      </c>
      <c r="G248" s="1">
        <v>45173</v>
      </c>
      <c r="H248">
        <v>241595</v>
      </c>
      <c r="I248">
        <v>9663.7999999999993</v>
      </c>
    </row>
    <row r="249" spans="1:9" x14ac:dyDescent="0.35">
      <c r="A249" t="s">
        <v>15</v>
      </c>
      <c r="B249" t="s">
        <v>12</v>
      </c>
      <c r="C249" t="s">
        <v>16</v>
      </c>
      <c r="D249" t="s">
        <v>26</v>
      </c>
      <c r="E249">
        <v>3</v>
      </c>
      <c r="F249">
        <v>25578</v>
      </c>
      <c r="G249" s="1">
        <v>45174</v>
      </c>
      <c r="H249">
        <v>76734</v>
      </c>
      <c r="I249">
        <v>5115.6000000000004</v>
      </c>
    </row>
    <row r="250" spans="1:9" x14ac:dyDescent="0.35">
      <c r="A250" t="s">
        <v>11</v>
      </c>
      <c r="B250" t="s">
        <v>8</v>
      </c>
      <c r="C250" t="s">
        <v>9</v>
      </c>
      <c r="D250" t="s">
        <v>25</v>
      </c>
      <c r="E250">
        <v>3</v>
      </c>
      <c r="F250">
        <v>29831</v>
      </c>
      <c r="G250" s="1">
        <v>45175</v>
      </c>
      <c r="H250">
        <v>89493</v>
      </c>
      <c r="I250">
        <v>5966.2</v>
      </c>
    </row>
    <row r="251" spans="1:9" x14ac:dyDescent="0.35">
      <c r="A251" t="s">
        <v>31</v>
      </c>
      <c r="B251" t="s">
        <v>8</v>
      </c>
      <c r="C251" t="s">
        <v>19</v>
      </c>
      <c r="D251" t="s">
        <v>25</v>
      </c>
      <c r="E251">
        <v>4</v>
      </c>
      <c r="F251">
        <v>8906</v>
      </c>
      <c r="G251" s="1">
        <v>45176</v>
      </c>
      <c r="H251">
        <v>35624</v>
      </c>
      <c r="I251">
        <v>1781.2</v>
      </c>
    </row>
    <row r="252" spans="1:9" x14ac:dyDescent="0.35">
      <c r="A252" t="s">
        <v>15</v>
      </c>
      <c r="B252" t="s">
        <v>12</v>
      </c>
      <c r="C252" t="s">
        <v>9</v>
      </c>
      <c r="D252" t="s">
        <v>25</v>
      </c>
      <c r="E252">
        <v>2</v>
      </c>
      <c r="F252">
        <v>8287</v>
      </c>
      <c r="G252" s="1">
        <v>45177</v>
      </c>
      <c r="H252">
        <v>16574</v>
      </c>
      <c r="I252">
        <v>1657.4</v>
      </c>
    </row>
    <row r="253" spans="1:9" x14ac:dyDescent="0.35">
      <c r="A253" t="s">
        <v>11</v>
      </c>
      <c r="B253" t="s">
        <v>24</v>
      </c>
      <c r="C253" t="s">
        <v>19</v>
      </c>
      <c r="D253" t="s">
        <v>17</v>
      </c>
      <c r="E253">
        <v>2</v>
      </c>
      <c r="F253">
        <v>34660</v>
      </c>
      <c r="G253" s="1">
        <v>45178</v>
      </c>
      <c r="H253">
        <v>69320</v>
      </c>
      <c r="I253">
        <v>6932</v>
      </c>
    </row>
    <row r="254" spans="1:9" x14ac:dyDescent="0.35">
      <c r="A254" t="s">
        <v>27</v>
      </c>
      <c r="B254" t="s">
        <v>21</v>
      </c>
      <c r="C254" t="s">
        <v>13</v>
      </c>
      <c r="D254" t="s">
        <v>20</v>
      </c>
      <c r="E254">
        <v>1</v>
      </c>
      <c r="F254">
        <v>11222</v>
      </c>
      <c r="G254" s="1">
        <v>45179</v>
      </c>
      <c r="H254">
        <v>11222</v>
      </c>
      <c r="I254">
        <v>2244.4</v>
      </c>
    </row>
    <row r="255" spans="1:9" x14ac:dyDescent="0.35">
      <c r="A255" t="s">
        <v>15</v>
      </c>
      <c r="B255" t="s">
        <v>21</v>
      </c>
      <c r="C255" t="s">
        <v>9</v>
      </c>
      <c r="D255" t="s">
        <v>17</v>
      </c>
      <c r="E255">
        <v>5</v>
      </c>
      <c r="F255">
        <v>38443</v>
      </c>
      <c r="G255" s="1">
        <v>45180</v>
      </c>
      <c r="H255">
        <v>192215</v>
      </c>
      <c r="I255">
        <v>7688.6</v>
      </c>
    </row>
    <row r="256" spans="1:9" x14ac:dyDescent="0.35">
      <c r="A256" t="s">
        <v>11</v>
      </c>
      <c r="B256" t="s">
        <v>8</v>
      </c>
      <c r="C256" t="s">
        <v>19</v>
      </c>
      <c r="D256" t="s">
        <v>28</v>
      </c>
      <c r="E256">
        <v>4</v>
      </c>
      <c r="F256">
        <v>35701</v>
      </c>
      <c r="G256" s="1">
        <v>45181</v>
      </c>
      <c r="H256">
        <v>142804</v>
      </c>
      <c r="I256">
        <v>7140.2</v>
      </c>
    </row>
    <row r="257" spans="1:9" x14ac:dyDescent="0.35">
      <c r="A257" t="s">
        <v>23</v>
      </c>
      <c r="B257" t="s">
        <v>24</v>
      </c>
      <c r="C257" t="s">
        <v>13</v>
      </c>
      <c r="D257" t="s">
        <v>17</v>
      </c>
      <c r="E257">
        <v>2</v>
      </c>
      <c r="F257">
        <v>18764</v>
      </c>
      <c r="G257" s="1">
        <v>45182</v>
      </c>
      <c r="H257">
        <v>37528</v>
      </c>
      <c r="I257">
        <v>3752.8</v>
      </c>
    </row>
    <row r="258" spans="1:9" x14ac:dyDescent="0.35">
      <c r="A258" t="s">
        <v>32</v>
      </c>
      <c r="B258" t="s">
        <v>21</v>
      </c>
      <c r="C258" t="s">
        <v>9</v>
      </c>
      <c r="D258" t="s">
        <v>26</v>
      </c>
      <c r="E258">
        <v>3</v>
      </c>
      <c r="F258">
        <v>45641</v>
      </c>
      <c r="G258" s="1">
        <v>45183</v>
      </c>
      <c r="H258">
        <v>136923</v>
      </c>
      <c r="I258">
        <v>9128.2000000000007</v>
      </c>
    </row>
    <row r="259" spans="1:9" x14ac:dyDescent="0.35">
      <c r="A259" t="s">
        <v>23</v>
      </c>
      <c r="B259" t="s">
        <v>24</v>
      </c>
      <c r="C259" t="s">
        <v>9</v>
      </c>
      <c r="D259" t="s">
        <v>26</v>
      </c>
      <c r="E259">
        <v>7</v>
      </c>
      <c r="F259">
        <v>18674</v>
      </c>
      <c r="G259" s="1">
        <v>45184</v>
      </c>
      <c r="H259">
        <v>130718</v>
      </c>
      <c r="I259">
        <v>3734.8</v>
      </c>
    </row>
    <row r="260" spans="1:9" x14ac:dyDescent="0.35">
      <c r="A260" t="s">
        <v>32</v>
      </c>
      <c r="B260" t="s">
        <v>24</v>
      </c>
      <c r="C260" t="s">
        <v>19</v>
      </c>
      <c r="D260" t="s">
        <v>17</v>
      </c>
      <c r="E260">
        <v>7</v>
      </c>
      <c r="F260">
        <v>19024</v>
      </c>
      <c r="G260" s="1">
        <v>45185</v>
      </c>
      <c r="H260">
        <v>133168</v>
      </c>
      <c r="I260">
        <v>3804.8</v>
      </c>
    </row>
    <row r="261" spans="1:9" x14ac:dyDescent="0.35">
      <c r="A261" t="s">
        <v>29</v>
      </c>
      <c r="B261" t="s">
        <v>8</v>
      </c>
      <c r="C261" t="s">
        <v>19</v>
      </c>
      <c r="D261" t="s">
        <v>20</v>
      </c>
      <c r="E261">
        <v>4</v>
      </c>
      <c r="F261">
        <v>47007</v>
      </c>
      <c r="G261" s="1">
        <v>45186</v>
      </c>
      <c r="H261">
        <v>188028</v>
      </c>
      <c r="I261">
        <v>9401.4</v>
      </c>
    </row>
    <row r="262" spans="1:9" x14ac:dyDescent="0.35">
      <c r="A262" t="s">
        <v>29</v>
      </c>
      <c r="B262" t="s">
        <v>21</v>
      </c>
      <c r="C262" t="s">
        <v>19</v>
      </c>
      <c r="D262" t="s">
        <v>30</v>
      </c>
      <c r="E262">
        <v>5</v>
      </c>
      <c r="F262">
        <v>24874</v>
      </c>
      <c r="G262" s="1">
        <v>45187</v>
      </c>
      <c r="H262">
        <v>124370</v>
      </c>
      <c r="I262">
        <v>4974.8</v>
      </c>
    </row>
    <row r="263" spans="1:9" x14ac:dyDescent="0.35">
      <c r="A263" t="s">
        <v>29</v>
      </c>
      <c r="B263" t="s">
        <v>12</v>
      </c>
      <c r="C263" t="s">
        <v>13</v>
      </c>
      <c r="D263" t="s">
        <v>14</v>
      </c>
      <c r="E263">
        <v>5</v>
      </c>
      <c r="F263">
        <v>44642</v>
      </c>
      <c r="G263" s="1">
        <v>45188</v>
      </c>
      <c r="H263">
        <v>223210</v>
      </c>
      <c r="I263">
        <v>8928.4</v>
      </c>
    </row>
    <row r="264" spans="1:9" x14ac:dyDescent="0.35">
      <c r="A264" t="s">
        <v>27</v>
      </c>
      <c r="B264" t="s">
        <v>8</v>
      </c>
      <c r="C264" t="s">
        <v>19</v>
      </c>
      <c r="D264" t="s">
        <v>20</v>
      </c>
      <c r="E264">
        <v>6</v>
      </c>
      <c r="F264">
        <v>33284</v>
      </c>
      <c r="G264" s="1">
        <v>45189</v>
      </c>
      <c r="H264">
        <v>199704</v>
      </c>
      <c r="I264">
        <v>6656.8</v>
      </c>
    </row>
    <row r="265" spans="1:9" x14ac:dyDescent="0.35">
      <c r="A265" t="s">
        <v>23</v>
      </c>
      <c r="B265" t="s">
        <v>21</v>
      </c>
      <c r="C265" t="s">
        <v>9</v>
      </c>
      <c r="D265" t="s">
        <v>17</v>
      </c>
      <c r="E265">
        <v>9</v>
      </c>
      <c r="F265">
        <v>18602</v>
      </c>
      <c r="G265" s="1">
        <v>45190</v>
      </c>
      <c r="H265">
        <v>167418</v>
      </c>
      <c r="I265">
        <v>3720.4</v>
      </c>
    </row>
    <row r="266" spans="1:9" x14ac:dyDescent="0.35">
      <c r="A266" t="s">
        <v>32</v>
      </c>
      <c r="B266" t="s">
        <v>21</v>
      </c>
      <c r="C266" t="s">
        <v>9</v>
      </c>
      <c r="D266" t="s">
        <v>25</v>
      </c>
      <c r="E266">
        <v>2</v>
      </c>
      <c r="F266">
        <v>38784</v>
      </c>
      <c r="G266" s="1">
        <v>45191</v>
      </c>
      <c r="H266">
        <v>77568</v>
      </c>
      <c r="I266">
        <v>7756.8</v>
      </c>
    </row>
    <row r="267" spans="1:9" x14ac:dyDescent="0.35">
      <c r="A267" t="s">
        <v>11</v>
      </c>
      <c r="B267" t="s">
        <v>21</v>
      </c>
      <c r="C267" t="s">
        <v>19</v>
      </c>
      <c r="D267" t="s">
        <v>10</v>
      </c>
      <c r="E267">
        <v>5</v>
      </c>
      <c r="F267">
        <v>24265</v>
      </c>
      <c r="G267" s="1">
        <v>45192</v>
      </c>
      <c r="H267">
        <v>121325</v>
      </c>
      <c r="I267">
        <v>4853</v>
      </c>
    </row>
    <row r="268" spans="1:9" x14ac:dyDescent="0.35">
      <c r="A268" t="s">
        <v>31</v>
      </c>
      <c r="B268" t="s">
        <v>21</v>
      </c>
      <c r="C268" t="s">
        <v>19</v>
      </c>
      <c r="D268" t="s">
        <v>14</v>
      </c>
      <c r="E268">
        <v>3</v>
      </c>
      <c r="F268">
        <v>26931</v>
      </c>
      <c r="G268" s="1">
        <v>45193</v>
      </c>
      <c r="H268">
        <v>80793</v>
      </c>
      <c r="I268">
        <v>5386.2</v>
      </c>
    </row>
    <row r="269" spans="1:9" x14ac:dyDescent="0.35">
      <c r="A269" t="s">
        <v>11</v>
      </c>
      <c r="B269" t="s">
        <v>21</v>
      </c>
      <c r="C269" t="s">
        <v>16</v>
      </c>
      <c r="D269" t="s">
        <v>14</v>
      </c>
      <c r="E269">
        <v>4</v>
      </c>
      <c r="F269">
        <v>29841</v>
      </c>
      <c r="G269" s="1">
        <v>45194</v>
      </c>
      <c r="H269">
        <v>119364</v>
      </c>
      <c r="I269">
        <v>5968.2</v>
      </c>
    </row>
    <row r="270" spans="1:9" x14ac:dyDescent="0.35">
      <c r="A270" t="s">
        <v>31</v>
      </c>
      <c r="B270" t="s">
        <v>24</v>
      </c>
      <c r="C270" t="s">
        <v>9</v>
      </c>
      <c r="D270" t="s">
        <v>26</v>
      </c>
      <c r="E270">
        <v>6</v>
      </c>
      <c r="F270">
        <v>30192</v>
      </c>
      <c r="G270" s="1">
        <v>45195</v>
      </c>
      <c r="H270">
        <v>181152</v>
      </c>
      <c r="I270">
        <v>6038.4</v>
      </c>
    </row>
    <row r="271" spans="1:9" x14ac:dyDescent="0.35">
      <c r="A271" t="s">
        <v>18</v>
      </c>
      <c r="B271" t="s">
        <v>8</v>
      </c>
      <c r="C271" t="s">
        <v>13</v>
      </c>
      <c r="D271" t="s">
        <v>14</v>
      </c>
      <c r="E271">
        <v>8</v>
      </c>
      <c r="F271">
        <v>47542</v>
      </c>
      <c r="G271" s="1">
        <v>45196</v>
      </c>
      <c r="H271">
        <v>380336</v>
      </c>
      <c r="I271">
        <v>9508.4</v>
      </c>
    </row>
    <row r="272" spans="1:9" x14ac:dyDescent="0.35">
      <c r="A272" t="s">
        <v>11</v>
      </c>
      <c r="B272" t="s">
        <v>24</v>
      </c>
      <c r="C272" t="s">
        <v>16</v>
      </c>
      <c r="D272" t="s">
        <v>17</v>
      </c>
      <c r="E272">
        <v>1</v>
      </c>
      <c r="F272">
        <v>43520</v>
      </c>
      <c r="G272" s="1">
        <v>45197</v>
      </c>
      <c r="H272">
        <v>43520</v>
      </c>
      <c r="I272">
        <v>8704</v>
      </c>
    </row>
    <row r="273" spans="1:9" x14ac:dyDescent="0.35">
      <c r="A273" t="s">
        <v>15</v>
      </c>
      <c r="B273" t="s">
        <v>12</v>
      </c>
      <c r="C273" t="s">
        <v>19</v>
      </c>
      <c r="D273" t="s">
        <v>25</v>
      </c>
      <c r="E273">
        <v>8</v>
      </c>
      <c r="F273">
        <v>16585</v>
      </c>
      <c r="G273" s="1">
        <v>45198</v>
      </c>
      <c r="H273">
        <v>132680</v>
      </c>
      <c r="I273">
        <v>3317</v>
      </c>
    </row>
    <row r="274" spans="1:9" x14ac:dyDescent="0.35">
      <c r="A274" t="s">
        <v>15</v>
      </c>
      <c r="B274" t="s">
        <v>21</v>
      </c>
      <c r="C274" t="s">
        <v>19</v>
      </c>
      <c r="D274" t="s">
        <v>25</v>
      </c>
      <c r="E274">
        <v>7</v>
      </c>
      <c r="F274">
        <v>26559</v>
      </c>
      <c r="G274" s="1">
        <v>45199</v>
      </c>
      <c r="H274">
        <v>185913</v>
      </c>
      <c r="I274">
        <v>5311.8</v>
      </c>
    </row>
    <row r="275" spans="1:9" x14ac:dyDescent="0.35">
      <c r="A275" t="s">
        <v>7</v>
      </c>
      <c r="B275" t="s">
        <v>8</v>
      </c>
      <c r="C275" t="s">
        <v>9</v>
      </c>
      <c r="D275" t="s">
        <v>28</v>
      </c>
      <c r="E275">
        <v>1</v>
      </c>
      <c r="F275">
        <v>41059</v>
      </c>
      <c r="G275" s="1">
        <v>45200</v>
      </c>
      <c r="H275">
        <v>41059</v>
      </c>
      <c r="I275">
        <v>8211.7999999999993</v>
      </c>
    </row>
    <row r="276" spans="1:9" x14ac:dyDescent="0.35">
      <c r="A276" t="s">
        <v>23</v>
      </c>
      <c r="B276" t="s">
        <v>21</v>
      </c>
      <c r="C276" t="s">
        <v>19</v>
      </c>
      <c r="D276" t="s">
        <v>25</v>
      </c>
      <c r="E276">
        <v>2</v>
      </c>
      <c r="F276">
        <v>34742</v>
      </c>
      <c r="G276" s="1">
        <v>45201</v>
      </c>
      <c r="H276">
        <v>69484</v>
      </c>
      <c r="I276">
        <v>6948.4</v>
      </c>
    </row>
    <row r="277" spans="1:9" x14ac:dyDescent="0.35">
      <c r="A277" t="s">
        <v>31</v>
      </c>
      <c r="B277" t="s">
        <v>8</v>
      </c>
      <c r="C277" t="s">
        <v>13</v>
      </c>
      <c r="D277" t="s">
        <v>20</v>
      </c>
      <c r="E277">
        <v>3</v>
      </c>
      <c r="F277">
        <v>5133</v>
      </c>
      <c r="G277" s="1">
        <v>45202</v>
      </c>
      <c r="H277">
        <v>15399</v>
      </c>
      <c r="I277">
        <v>1026.5999999999999</v>
      </c>
    </row>
    <row r="278" spans="1:9" x14ac:dyDescent="0.35">
      <c r="A278" t="s">
        <v>31</v>
      </c>
      <c r="B278" t="s">
        <v>24</v>
      </c>
      <c r="C278" t="s">
        <v>9</v>
      </c>
      <c r="D278" t="s">
        <v>25</v>
      </c>
      <c r="E278">
        <v>1</v>
      </c>
      <c r="F278">
        <v>15663</v>
      </c>
      <c r="G278" s="1">
        <v>45203</v>
      </c>
      <c r="H278">
        <v>15663</v>
      </c>
      <c r="I278">
        <v>3132.6</v>
      </c>
    </row>
    <row r="279" spans="1:9" x14ac:dyDescent="0.35">
      <c r="A279" t="s">
        <v>23</v>
      </c>
      <c r="B279" t="s">
        <v>8</v>
      </c>
      <c r="C279" t="s">
        <v>19</v>
      </c>
      <c r="D279" t="s">
        <v>26</v>
      </c>
      <c r="E279">
        <v>9</v>
      </c>
      <c r="F279">
        <v>22754</v>
      </c>
      <c r="G279" s="1">
        <v>45204</v>
      </c>
      <c r="H279">
        <v>204786</v>
      </c>
      <c r="I279">
        <v>4550.8</v>
      </c>
    </row>
    <row r="280" spans="1:9" x14ac:dyDescent="0.35">
      <c r="A280" t="s">
        <v>27</v>
      </c>
      <c r="B280" t="s">
        <v>12</v>
      </c>
      <c r="C280" t="s">
        <v>9</v>
      </c>
      <c r="D280" t="s">
        <v>25</v>
      </c>
      <c r="E280">
        <v>8</v>
      </c>
      <c r="F280">
        <v>4972</v>
      </c>
      <c r="G280" s="1">
        <v>45205</v>
      </c>
      <c r="H280">
        <v>39776</v>
      </c>
      <c r="I280">
        <v>994.4</v>
      </c>
    </row>
    <row r="281" spans="1:9" x14ac:dyDescent="0.35">
      <c r="A281" t="s">
        <v>7</v>
      </c>
      <c r="B281" t="s">
        <v>12</v>
      </c>
      <c r="C281" t="s">
        <v>19</v>
      </c>
      <c r="D281" t="s">
        <v>28</v>
      </c>
      <c r="E281">
        <v>2</v>
      </c>
      <c r="F281">
        <v>6295</v>
      </c>
      <c r="G281" s="1">
        <v>45206</v>
      </c>
      <c r="H281">
        <v>12590</v>
      </c>
      <c r="I281">
        <v>1259</v>
      </c>
    </row>
    <row r="282" spans="1:9" x14ac:dyDescent="0.35">
      <c r="A282" t="s">
        <v>27</v>
      </c>
      <c r="B282" t="s">
        <v>8</v>
      </c>
      <c r="C282" t="s">
        <v>19</v>
      </c>
      <c r="D282" t="s">
        <v>10</v>
      </c>
      <c r="E282">
        <v>9</v>
      </c>
      <c r="F282">
        <v>47681</v>
      </c>
      <c r="G282" s="1">
        <v>45207</v>
      </c>
      <c r="H282">
        <v>429129</v>
      </c>
      <c r="I282">
        <v>9536.2000000000007</v>
      </c>
    </row>
    <row r="283" spans="1:9" x14ac:dyDescent="0.35">
      <c r="A283" t="s">
        <v>27</v>
      </c>
      <c r="B283" t="s">
        <v>8</v>
      </c>
      <c r="C283" t="s">
        <v>19</v>
      </c>
      <c r="D283" t="s">
        <v>17</v>
      </c>
      <c r="E283">
        <v>7</v>
      </c>
      <c r="F283">
        <v>42873</v>
      </c>
      <c r="G283" s="1">
        <v>45208</v>
      </c>
      <c r="H283">
        <v>300111</v>
      </c>
      <c r="I283">
        <v>8574.6</v>
      </c>
    </row>
    <row r="284" spans="1:9" x14ac:dyDescent="0.35">
      <c r="A284" t="s">
        <v>27</v>
      </c>
      <c r="B284" t="s">
        <v>8</v>
      </c>
      <c r="C284" t="s">
        <v>13</v>
      </c>
      <c r="D284" t="s">
        <v>26</v>
      </c>
      <c r="E284">
        <v>9</v>
      </c>
      <c r="F284">
        <v>30125</v>
      </c>
      <c r="G284" s="1">
        <v>45209</v>
      </c>
      <c r="H284">
        <v>271125</v>
      </c>
      <c r="I284">
        <v>6025</v>
      </c>
    </row>
    <row r="285" spans="1:9" x14ac:dyDescent="0.35">
      <c r="A285" t="s">
        <v>23</v>
      </c>
      <c r="B285" t="s">
        <v>8</v>
      </c>
      <c r="C285" t="s">
        <v>13</v>
      </c>
      <c r="D285" t="s">
        <v>20</v>
      </c>
      <c r="E285">
        <v>6</v>
      </c>
      <c r="F285">
        <v>41996</v>
      </c>
      <c r="G285" s="1">
        <v>45210</v>
      </c>
      <c r="H285">
        <v>251976</v>
      </c>
      <c r="I285">
        <v>8399.2000000000007</v>
      </c>
    </row>
    <row r="286" spans="1:9" x14ac:dyDescent="0.35">
      <c r="A286" t="s">
        <v>27</v>
      </c>
      <c r="B286" t="s">
        <v>12</v>
      </c>
      <c r="C286" t="s">
        <v>9</v>
      </c>
      <c r="D286" t="s">
        <v>10</v>
      </c>
      <c r="E286">
        <v>6</v>
      </c>
      <c r="F286">
        <v>10903</v>
      </c>
      <c r="G286" s="1">
        <v>45211</v>
      </c>
      <c r="H286">
        <v>65418</v>
      </c>
      <c r="I286">
        <v>2180.6</v>
      </c>
    </row>
    <row r="287" spans="1:9" x14ac:dyDescent="0.35">
      <c r="A287" t="s">
        <v>15</v>
      </c>
      <c r="B287" t="s">
        <v>21</v>
      </c>
      <c r="C287" t="s">
        <v>19</v>
      </c>
      <c r="D287" t="s">
        <v>26</v>
      </c>
      <c r="E287">
        <v>4</v>
      </c>
      <c r="F287">
        <v>4020</v>
      </c>
      <c r="G287" s="1">
        <v>45212</v>
      </c>
      <c r="H287">
        <v>16080</v>
      </c>
      <c r="I287">
        <v>804</v>
      </c>
    </row>
    <row r="288" spans="1:9" x14ac:dyDescent="0.35">
      <c r="A288" t="s">
        <v>29</v>
      </c>
      <c r="B288" t="s">
        <v>8</v>
      </c>
      <c r="C288" t="s">
        <v>19</v>
      </c>
      <c r="D288" t="s">
        <v>30</v>
      </c>
      <c r="E288">
        <v>2</v>
      </c>
      <c r="F288">
        <v>42755</v>
      </c>
      <c r="G288" s="1">
        <v>45213</v>
      </c>
      <c r="H288">
        <v>85510</v>
      </c>
      <c r="I288">
        <v>8551</v>
      </c>
    </row>
    <row r="289" spans="1:9" x14ac:dyDescent="0.35">
      <c r="A289" t="s">
        <v>18</v>
      </c>
      <c r="B289" t="s">
        <v>8</v>
      </c>
      <c r="C289" t="s">
        <v>13</v>
      </c>
      <c r="D289" t="s">
        <v>14</v>
      </c>
      <c r="E289">
        <v>7</v>
      </c>
      <c r="F289">
        <v>21420</v>
      </c>
      <c r="G289" s="1">
        <v>45214</v>
      </c>
      <c r="H289">
        <v>149940</v>
      </c>
      <c r="I289">
        <v>4284</v>
      </c>
    </row>
    <row r="290" spans="1:9" x14ac:dyDescent="0.35">
      <c r="A290" t="s">
        <v>31</v>
      </c>
      <c r="B290" t="s">
        <v>12</v>
      </c>
      <c r="C290" t="s">
        <v>19</v>
      </c>
      <c r="D290" t="s">
        <v>30</v>
      </c>
      <c r="E290">
        <v>5</v>
      </c>
      <c r="F290">
        <v>22452</v>
      </c>
      <c r="G290" s="1">
        <v>45215</v>
      </c>
      <c r="H290">
        <v>112260</v>
      </c>
      <c r="I290">
        <v>4490.3999999999996</v>
      </c>
    </row>
    <row r="291" spans="1:9" x14ac:dyDescent="0.35">
      <c r="A291" t="s">
        <v>31</v>
      </c>
      <c r="B291" t="s">
        <v>12</v>
      </c>
      <c r="C291" t="s">
        <v>13</v>
      </c>
      <c r="D291" t="s">
        <v>25</v>
      </c>
      <c r="E291">
        <v>6</v>
      </c>
      <c r="F291">
        <v>46648</v>
      </c>
      <c r="G291" s="1">
        <v>45216</v>
      </c>
      <c r="H291">
        <v>279888</v>
      </c>
      <c r="I291">
        <v>9329.6</v>
      </c>
    </row>
    <row r="292" spans="1:9" x14ac:dyDescent="0.35">
      <c r="A292" t="s">
        <v>18</v>
      </c>
      <c r="B292" t="s">
        <v>24</v>
      </c>
      <c r="C292" t="s">
        <v>19</v>
      </c>
      <c r="D292" t="s">
        <v>10</v>
      </c>
      <c r="E292">
        <v>2</v>
      </c>
      <c r="F292">
        <v>39001</v>
      </c>
      <c r="G292" s="1">
        <v>45217</v>
      </c>
      <c r="H292">
        <v>78002</v>
      </c>
      <c r="I292">
        <v>7800.2</v>
      </c>
    </row>
    <row r="293" spans="1:9" x14ac:dyDescent="0.35">
      <c r="A293" t="s">
        <v>23</v>
      </c>
      <c r="B293" t="s">
        <v>8</v>
      </c>
      <c r="C293" t="s">
        <v>9</v>
      </c>
      <c r="D293" t="s">
        <v>25</v>
      </c>
      <c r="E293">
        <v>5</v>
      </c>
      <c r="F293">
        <v>10516</v>
      </c>
      <c r="G293" s="1">
        <v>45218</v>
      </c>
      <c r="H293">
        <v>52580</v>
      </c>
      <c r="I293">
        <v>2103.1999999999998</v>
      </c>
    </row>
    <row r="294" spans="1:9" x14ac:dyDescent="0.35">
      <c r="A294" t="s">
        <v>11</v>
      </c>
      <c r="B294" t="s">
        <v>24</v>
      </c>
      <c r="C294" t="s">
        <v>19</v>
      </c>
      <c r="D294" t="s">
        <v>14</v>
      </c>
      <c r="E294">
        <v>4</v>
      </c>
      <c r="F294">
        <v>48327</v>
      </c>
      <c r="G294" s="1">
        <v>45219</v>
      </c>
      <c r="H294">
        <v>193308</v>
      </c>
      <c r="I294">
        <v>9665.4</v>
      </c>
    </row>
    <row r="295" spans="1:9" x14ac:dyDescent="0.35">
      <c r="A295" t="s">
        <v>23</v>
      </c>
      <c r="B295" t="s">
        <v>12</v>
      </c>
      <c r="C295" t="s">
        <v>19</v>
      </c>
      <c r="D295" t="s">
        <v>26</v>
      </c>
      <c r="E295">
        <v>9</v>
      </c>
      <c r="F295">
        <v>3396</v>
      </c>
      <c r="G295" s="1">
        <v>45220</v>
      </c>
      <c r="H295">
        <v>30564</v>
      </c>
      <c r="I295">
        <v>679.2</v>
      </c>
    </row>
    <row r="296" spans="1:9" x14ac:dyDescent="0.35">
      <c r="A296" t="s">
        <v>31</v>
      </c>
      <c r="B296" t="s">
        <v>12</v>
      </c>
      <c r="C296" t="s">
        <v>16</v>
      </c>
      <c r="D296" t="s">
        <v>14</v>
      </c>
      <c r="E296">
        <v>6</v>
      </c>
      <c r="F296">
        <v>19546</v>
      </c>
      <c r="G296" s="1">
        <v>45221</v>
      </c>
      <c r="H296">
        <v>117276</v>
      </c>
      <c r="I296">
        <v>3909.2</v>
      </c>
    </row>
    <row r="297" spans="1:9" x14ac:dyDescent="0.35">
      <c r="A297" t="s">
        <v>31</v>
      </c>
      <c r="B297" t="s">
        <v>21</v>
      </c>
      <c r="C297" t="s">
        <v>13</v>
      </c>
      <c r="D297" t="s">
        <v>28</v>
      </c>
      <c r="E297">
        <v>2</v>
      </c>
      <c r="F297">
        <v>20129</v>
      </c>
      <c r="G297" s="1">
        <v>45222</v>
      </c>
      <c r="H297">
        <v>40258</v>
      </c>
      <c r="I297">
        <v>4025.8</v>
      </c>
    </row>
    <row r="298" spans="1:9" x14ac:dyDescent="0.35">
      <c r="A298" t="s">
        <v>18</v>
      </c>
      <c r="B298" t="s">
        <v>8</v>
      </c>
      <c r="C298" t="s">
        <v>19</v>
      </c>
      <c r="D298" t="s">
        <v>14</v>
      </c>
      <c r="E298">
        <v>1</v>
      </c>
      <c r="F298">
        <v>2591</v>
      </c>
      <c r="G298" s="1">
        <v>45223</v>
      </c>
      <c r="H298">
        <v>2591</v>
      </c>
      <c r="I298">
        <v>518.20000000000005</v>
      </c>
    </row>
    <row r="299" spans="1:9" x14ac:dyDescent="0.35">
      <c r="A299" t="s">
        <v>27</v>
      </c>
      <c r="B299" t="s">
        <v>24</v>
      </c>
      <c r="C299" t="s">
        <v>19</v>
      </c>
      <c r="D299" t="s">
        <v>28</v>
      </c>
      <c r="E299">
        <v>5</v>
      </c>
      <c r="F299">
        <v>12303</v>
      </c>
      <c r="G299" s="1">
        <v>45224</v>
      </c>
      <c r="H299">
        <v>61515</v>
      </c>
      <c r="I299">
        <v>2460.6</v>
      </c>
    </row>
    <row r="300" spans="1:9" x14ac:dyDescent="0.35">
      <c r="A300" t="s">
        <v>23</v>
      </c>
      <c r="B300" t="s">
        <v>12</v>
      </c>
      <c r="C300" t="s">
        <v>16</v>
      </c>
      <c r="D300" t="s">
        <v>14</v>
      </c>
      <c r="E300">
        <v>9</v>
      </c>
      <c r="F300">
        <v>31561</v>
      </c>
      <c r="G300" s="1">
        <v>45225</v>
      </c>
      <c r="H300">
        <v>284049</v>
      </c>
      <c r="I300">
        <v>6312.2</v>
      </c>
    </row>
    <row r="301" spans="1:9" x14ac:dyDescent="0.35">
      <c r="A301" t="s">
        <v>32</v>
      </c>
      <c r="B301" t="s">
        <v>12</v>
      </c>
      <c r="C301" t="s">
        <v>16</v>
      </c>
      <c r="D301" t="s">
        <v>17</v>
      </c>
      <c r="E301">
        <v>6</v>
      </c>
      <c r="F301">
        <v>7183</v>
      </c>
      <c r="G301" s="1">
        <v>45226</v>
      </c>
      <c r="H301">
        <v>43098</v>
      </c>
      <c r="I301">
        <v>1436.6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EB70F-200A-4B34-9BD2-235184696175}">
  <dimension ref="A1"/>
  <sheetViews>
    <sheetView zoomScale="55" zoomScaleNormal="100" workbookViewId="0">
      <selection activeCell="AD14" sqref="AD1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11F91AB-6623-47EF-BAF4-4AFDA4AE7A8A}">
  <ds:schemaRefs/>
</ds:datastoreItem>
</file>

<file path=customXml/itemProps2.xml><?xml version="1.0" encoding="utf-8"?>
<ds:datastoreItem xmlns:ds="http://schemas.openxmlformats.org/officeDocument/2006/customXml" ds:itemID="{A845FF09-66AC-41B2-9B25-F3D4E7382B2F}">
  <ds:schemaRefs/>
</ds:datastoreItem>
</file>

<file path=customXml/itemProps3.xml><?xml version="1.0" encoding="utf-8"?>
<ds:datastoreItem xmlns:ds="http://schemas.openxmlformats.org/officeDocument/2006/customXml" ds:itemID="{A500F427-ED04-4CD0-9708-59065FAEACB4}">
  <ds:schemaRefs/>
</ds:datastoreItem>
</file>

<file path=customXml/itemProps4.xml><?xml version="1.0" encoding="utf-8"?>
<ds:datastoreItem xmlns:ds="http://schemas.openxmlformats.org/officeDocument/2006/customXml" ds:itemID="{BD2ADE8A-4136-4A80-9BF3-2AB46BE2EAF0}">
  <ds:schemaRefs>
    <ds:schemaRef ds:uri="http://schemas.microsoft.com/DataMashup"/>
  </ds:schemaRefs>
</ds:datastoreItem>
</file>

<file path=customXml/itemProps5.xml><?xml version="1.0" encoding="utf-8"?>
<ds:datastoreItem xmlns:ds="http://schemas.openxmlformats.org/officeDocument/2006/customXml" ds:itemID="{1705B756-22EF-4059-B727-D56BC5ACCA7E}">
  <ds:schemaRefs/>
</ds:datastoreItem>
</file>

<file path=customXml/itemProps6.xml><?xml version="1.0" encoding="utf-8"?>
<ds:datastoreItem xmlns:ds="http://schemas.openxmlformats.org/officeDocument/2006/customXml" ds:itemID="{EF0EEF09-3099-4E4D-8B4A-4AAA2CC2A42A}">
  <ds:schemaRefs/>
</ds:datastoreItem>
</file>

<file path=customXml/itemProps7.xml><?xml version="1.0" encoding="utf-8"?>
<ds:datastoreItem xmlns:ds="http://schemas.openxmlformats.org/officeDocument/2006/customXml" ds:itemID="{0D3D2C3B-93EE-444E-B6A0-4ECDD3D6015E}">
  <ds:schemaRefs/>
</ds:datastoreItem>
</file>

<file path=customXml/itemProps8.xml><?xml version="1.0" encoding="utf-8"?>
<ds:datastoreItem xmlns:ds="http://schemas.openxmlformats.org/officeDocument/2006/customXml" ds:itemID="{0211FC4F-DE3C-4700-A4FC-CB4A8C6F52AA}">
  <ds:schemaRefs/>
</ds:datastoreItem>
</file>

<file path=customXml/itemProps9.xml><?xml version="1.0" encoding="utf-8"?>
<ds:datastoreItem xmlns:ds="http://schemas.openxmlformats.org/officeDocument/2006/customXml" ds:itemID="{0AAC8890-1A65-4A83-B53A-0C5139DB78E0}">
  <ds:schemaRefs/>
</ds:datastoreItem>
</file>

<file path=customXml/itemProps10.xml><?xml version="1.0" encoding="utf-8"?>
<ds:datastoreItem xmlns:ds="http://schemas.openxmlformats.org/officeDocument/2006/customXml" ds:itemID="{30EF503E-FE14-40F1-A9EF-B8A6846E80DD}">
  <ds:schemaRefs/>
</ds:datastoreItem>
</file>

<file path=customXml/itemProps11.xml><?xml version="1.0" encoding="utf-8"?>
<ds:datastoreItem xmlns:ds="http://schemas.openxmlformats.org/officeDocument/2006/customXml" ds:itemID="{064A191D-C7BD-4368-A117-0036F6446FDA}">
  <ds:schemaRefs/>
</ds:datastoreItem>
</file>

<file path=customXml/itemProps12.xml><?xml version="1.0" encoding="utf-8"?>
<ds:datastoreItem xmlns:ds="http://schemas.openxmlformats.org/officeDocument/2006/customXml" ds:itemID="{4F7EF017-2561-49FD-B9FF-8569CC7C67F0}">
  <ds:schemaRefs/>
</ds:datastoreItem>
</file>

<file path=customXml/itemProps13.xml><?xml version="1.0" encoding="utf-8"?>
<ds:datastoreItem xmlns:ds="http://schemas.openxmlformats.org/officeDocument/2006/customXml" ds:itemID="{2544A162-A785-4C21-8658-F1D7FDA974B4}">
  <ds:schemaRefs/>
</ds:datastoreItem>
</file>

<file path=customXml/itemProps14.xml><?xml version="1.0" encoding="utf-8"?>
<ds:datastoreItem xmlns:ds="http://schemas.openxmlformats.org/officeDocument/2006/customXml" ds:itemID="{9D778F9F-ADC1-4F06-8406-7866AA808EE2}">
  <ds:schemaRefs/>
</ds:datastoreItem>
</file>

<file path=customXml/itemProps15.xml><?xml version="1.0" encoding="utf-8"?>
<ds:datastoreItem xmlns:ds="http://schemas.openxmlformats.org/officeDocument/2006/customXml" ds:itemID="{B46D02C0-5602-46D5-B434-38C124C74C8D}">
  <ds:schemaRefs/>
</ds:datastoreItem>
</file>

<file path=customXml/itemProps16.xml><?xml version="1.0" encoding="utf-8"?>
<ds:datastoreItem xmlns:ds="http://schemas.openxmlformats.org/officeDocument/2006/customXml" ds:itemID="{B51B9CC3-3E0D-491D-BC87-28E5B45311B6}">
  <ds:schemaRefs/>
</ds:datastoreItem>
</file>

<file path=customXml/itemProps17.xml><?xml version="1.0" encoding="utf-8"?>
<ds:datastoreItem xmlns:ds="http://schemas.openxmlformats.org/officeDocument/2006/customXml" ds:itemID="{15B00846-ECCB-4961-9020-52442C98319C}">
  <ds:schemaRefs/>
</ds:datastoreItem>
</file>

<file path=customXml/itemProps18.xml><?xml version="1.0" encoding="utf-8"?>
<ds:datastoreItem xmlns:ds="http://schemas.openxmlformats.org/officeDocument/2006/customXml" ds:itemID="{8BE0BB5B-5CD3-4D99-909F-6FD18923BC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PvotData</vt:lpstr>
      <vt:lpstr>sales_data_large</vt:lpstr>
      <vt:lpstr>DBoard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ASDC50</cp:lastModifiedBy>
  <dcterms:created xsi:type="dcterms:W3CDTF">2026-03-21T14:26:27Z</dcterms:created>
  <dcterms:modified xsi:type="dcterms:W3CDTF">2026-05-10T10:12:08Z</dcterms:modified>
</cp:coreProperties>
</file>