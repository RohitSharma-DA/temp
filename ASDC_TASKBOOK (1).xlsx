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hit\Downloads\"/>
    </mc:Choice>
  </mc:AlternateContent>
  <xr:revisionPtr revIDLastSave="0" documentId="13_ncr:1_{559A841C-2BF9-4AD3-9393-6BF74C0A3B08}" xr6:coauthVersionLast="47" xr6:coauthVersionMax="47" xr10:uidLastSave="{00000000-0000-0000-0000-000000000000}"/>
  <bookViews>
    <workbookView xWindow="-108" yWindow="-108" windowWidth="23256" windowHeight="12456" firstSheet="4" activeTab="9" xr2:uid="{337792EE-0258-4B3F-8350-BF3FD0B27962}"/>
  </bookViews>
  <sheets>
    <sheet name="EmployeeSheet" sheetId="1" r:id="rId1"/>
    <sheet name="Monthly Sales Report" sheetId="2" r:id="rId2"/>
    <sheet name="Student Marks Sheet" sheetId="3" r:id="rId3"/>
    <sheet name="Sales Summary" sheetId="4" r:id="rId4"/>
    <sheet name="Salary Analysis" sheetId="5" r:id="rId5"/>
    <sheet name="Attendance Sheet" sheetId="6" r:id="rId6"/>
    <sheet name="Sales Count" sheetId="7" r:id="rId7"/>
    <sheet name="Sales Formatting" sheetId="8" r:id="rId8"/>
    <sheet name="Student Result" sheetId="9" r:id="rId9"/>
    <sheet name="Salary Band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4" i="7" l="1"/>
  <c r="B23" i="7"/>
  <c r="H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G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F25" i="5"/>
  <c r="C26" i="5"/>
  <c r="C25" i="5"/>
  <c r="C24" i="5"/>
  <c r="B26" i="5"/>
  <c r="B25" i="5"/>
  <c r="G25" i="5" s="1"/>
  <c r="B24" i="5"/>
</calcChain>
</file>

<file path=xl/sharedStrings.xml><?xml version="1.0" encoding="utf-8"?>
<sst xmlns="http://schemas.openxmlformats.org/spreadsheetml/2006/main" count="455" uniqueCount="205">
  <si>
    <t>Name</t>
  </si>
  <si>
    <t>Employee ID</t>
  </si>
  <si>
    <t>Department</t>
  </si>
  <si>
    <t>Salary</t>
  </si>
  <si>
    <t>Joining Date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</si>
  <si>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</si>
  <si>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</si>
  <si>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</si>
  <si>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</si>
  <si>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</si>
  <si>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</si>
  <si>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</si>
  <si>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</si>
  <si>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</si>
  <si>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</si>
  <si>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 xml:space="preserve"> Amit Sharma</t>
  </si>
  <si>
    <t>Neha Verma</t>
  </si>
  <si>
    <t>Rahul Mehta</t>
  </si>
  <si>
    <t>Pooja Singh</t>
  </si>
  <si>
    <t>Ankit Patel</t>
  </si>
  <si>
    <t>Rajiv Gandhi</t>
  </si>
  <si>
    <t>Narendra Verma</t>
  </si>
  <si>
    <t>Riya Chawda</t>
  </si>
  <si>
    <t>Anurag Shrivastav</t>
  </si>
  <si>
    <t>Sagar Prajapati</t>
  </si>
  <si>
    <t>HR</t>
  </si>
  <si>
    <t>IT</t>
  </si>
  <si>
    <t>Finance</t>
  </si>
  <si>
    <t>Sales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</si>
  <si>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</si>
  <si>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</si>
  <si>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</si>
  <si>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</si>
  <si>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</si>
  <si>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</si>
  <si>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</si>
  <si>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</si>
  <si>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</si>
  <si>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</si>
  <si>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Anurag Kashyap</t>
  </si>
  <si>
    <t>Ram Lakhan</t>
  </si>
  <si>
    <t>Chetan Sharma</t>
  </si>
  <si>
    <t>Ketan Prajapati</t>
  </si>
  <si>
    <t>Ronak Jethwa</t>
  </si>
  <si>
    <t>Pruthvu Parate</t>
  </si>
  <si>
    <t>Shakti Bharti</t>
  </si>
  <si>
    <t>Shraddha Kapoor</t>
  </si>
  <si>
    <t>John Cena</t>
  </si>
  <si>
    <t>Product Name</t>
  </si>
  <si>
    <t>Region</t>
  </si>
  <si>
    <t>Sales Amount</t>
  </si>
  <si>
    <t>Salesperson</t>
  </si>
  <si>
    <t>Monthly Sales Report</t>
  </si>
  <si>
    <t>West</t>
  </si>
  <si>
    <t>East</t>
  </si>
  <si>
    <t>North</t>
  </si>
  <si>
    <t>South</t>
  </si>
  <si>
    <t>Ronak</t>
  </si>
  <si>
    <t>Aniket</t>
  </si>
  <si>
    <t>Rohit</t>
  </si>
  <si>
    <t>Sankar</t>
  </si>
  <si>
    <t>Rahul</t>
  </si>
  <si>
    <t>Sachin</t>
  </si>
  <si>
    <t>Raju</t>
  </si>
  <si>
    <t>Shima</t>
  </si>
  <si>
    <t>Lenovo Ideapad 5</t>
  </si>
  <si>
    <t>HP Legion Pro</t>
  </si>
  <si>
    <t>Lenovo Wireless Mouse</t>
  </si>
  <si>
    <t>Apple Macbook 5</t>
  </si>
  <si>
    <t>Lenovo Wired Keyboard</t>
  </si>
  <si>
    <t>Samsung 24-inch Monitor</t>
  </si>
  <si>
    <t xml:space="preserve">Xiomi Powerbank </t>
  </si>
  <si>
    <t>50000 mha</t>
  </si>
  <si>
    <t>Oppo F5</t>
  </si>
  <si>
    <t>Dell 240V Charger</t>
  </si>
  <si>
    <t>Samsung 256 GB SSD</t>
  </si>
  <si>
    <t>Apple Iphone 15</t>
  </si>
  <si>
    <t>Roll No</t>
  </si>
  <si>
    <t>Student Name</t>
  </si>
  <si>
    <t>Maths</t>
  </si>
  <si>
    <t>Science</t>
  </si>
  <si>
    <t>English</t>
  </si>
  <si>
    <t>Percentage</t>
  </si>
  <si>
    <t>Aakash</t>
  </si>
  <si>
    <t>Bhavya</t>
  </si>
  <si>
    <t>Chirag</t>
  </si>
  <si>
    <t>Divya</t>
  </si>
  <si>
    <t>Esha</t>
  </si>
  <si>
    <t>Farhan</t>
  </si>
  <si>
    <t>Gauri</t>
  </si>
  <si>
    <t>Harsh</t>
  </si>
  <si>
    <t>Ishita</t>
  </si>
  <si>
    <t>Jai</t>
  </si>
  <si>
    <t>Kavya</t>
  </si>
  <si>
    <t>Laksh</t>
  </si>
  <si>
    <t>Meera</t>
  </si>
  <si>
    <t>Neel</t>
  </si>
  <si>
    <t>Omkar</t>
  </si>
  <si>
    <t>Priya</t>
  </si>
  <si>
    <t>Sneha</t>
  </si>
  <si>
    <t>Tanvi</t>
  </si>
  <si>
    <t>Varun</t>
  </si>
  <si>
    <t>Invoice No</t>
  </si>
  <si>
    <t>Date</t>
  </si>
  <si>
    <t>INV001</t>
  </si>
  <si>
    <t>INV002</t>
  </si>
  <si>
    <t>INV003</t>
  </si>
  <si>
    <t>INV004</t>
  </si>
  <si>
    <t>INV005</t>
  </si>
  <si>
    <t>INV006</t>
  </si>
  <si>
    <t>INV007</t>
  </si>
  <si>
    <t>INV008</t>
  </si>
  <si>
    <t>INV009</t>
  </si>
  <si>
    <t>INV010</t>
  </si>
  <si>
    <t>INV011</t>
  </si>
  <si>
    <t>INV012</t>
  </si>
  <si>
    <t>INV013</t>
  </si>
  <si>
    <t>INV014</t>
  </si>
  <si>
    <t>INV015</t>
  </si>
  <si>
    <t>INV016</t>
  </si>
  <si>
    <t>INV017</t>
  </si>
  <si>
    <t>INV018</t>
  </si>
  <si>
    <t>INV019</t>
  </si>
  <si>
    <t>INV020</t>
  </si>
  <si>
    <t>TOTAL SALES:</t>
  </si>
  <si>
    <t>HIGHEST SALES:</t>
  </si>
  <si>
    <t>LOWEST SALES:</t>
  </si>
  <si>
    <t>AVERAGE SALES:</t>
  </si>
  <si>
    <t>Employee Name</t>
  </si>
  <si>
    <t>Suresh</t>
  </si>
  <si>
    <t>Meena</t>
  </si>
  <si>
    <t>Karan</t>
  </si>
  <si>
    <t>Ritu</t>
  </si>
  <si>
    <t>Aman</t>
  </si>
  <si>
    <t>Arjun</t>
  </si>
  <si>
    <t>GRAND TOTAL</t>
  </si>
  <si>
    <t>GRAND AVERAGE</t>
  </si>
  <si>
    <t>DEPARTMENTS</t>
  </si>
  <si>
    <t>TOTAL SALARY
(Per Department)</t>
  </si>
  <si>
    <t>AVERAGE
(Per Department)</t>
  </si>
  <si>
    <t>TOTAL EMPLOYEES
(Per Department)</t>
  </si>
  <si>
    <t>TOTAL EMPLOYEES
(All Departments)</t>
  </si>
  <si>
    <t>Day 1</t>
  </si>
  <si>
    <t>Day 2</t>
  </si>
  <si>
    <t>Day 3</t>
  </si>
  <si>
    <t>Day 4</t>
  </si>
  <si>
    <t>Day 5</t>
  </si>
  <si>
    <t>P</t>
  </si>
  <si>
    <t>A</t>
  </si>
  <si>
    <t>PRESENT DAYS</t>
  </si>
  <si>
    <t>ABSENT DAYS</t>
  </si>
  <si>
    <t>Order ID</t>
  </si>
  <si>
    <t>O101</t>
  </si>
  <si>
    <t>O102</t>
  </si>
  <si>
    <t>O103</t>
  </si>
  <si>
    <t>O104</t>
  </si>
  <si>
    <t>O105</t>
  </si>
  <si>
    <t>O106</t>
  </si>
  <si>
    <t>O107</t>
  </si>
  <si>
    <t>O108</t>
  </si>
  <si>
    <t>O109</t>
  </si>
  <si>
    <t>O110</t>
  </si>
  <si>
    <t>O111</t>
  </si>
  <si>
    <t>O112</t>
  </si>
  <si>
    <t>O113</t>
  </si>
  <si>
    <t>O114</t>
  </si>
  <si>
    <t>O115</t>
  </si>
  <si>
    <t>O116</t>
  </si>
  <si>
    <t>O117</t>
  </si>
  <si>
    <t>O118</t>
  </si>
  <si>
    <t>O119</t>
  </si>
  <si>
    <t>O120</t>
  </si>
  <si>
    <t>NO. OF SALES &lt; 5000</t>
  </si>
  <si>
    <t>NO. OF SALES &gt; 10000</t>
  </si>
  <si>
    <t>Product</t>
  </si>
  <si>
    <t>Mobile</t>
  </si>
  <si>
    <t>Headphones</t>
  </si>
  <si>
    <t>Laptop</t>
  </si>
  <si>
    <t>Keyboard</t>
  </si>
  <si>
    <t>Tablet</t>
  </si>
  <si>
    <t>Monitor</t>
  </si>
  <si>
    <t>Smartwatch</t>
  </si>
  <si>
    <t>Printer</t>
  </si>
  <si>
    <t>Camera</t>
  </si>
  <si>
    <t>Speakers</t>
  </si>
  <si>
    <t>Router</t>
  </si>
  <si>
    <t>Mouse</t>
  </si>
  <si>
    <t>Projector</t>
  </si>
  <si>
    <t>SSD</t>
  </si>
  <si>
    <t>Power Bank</t>
  </si>
  <si>
    <t>TV</t>
  </si>
  <si>
    <t>Microphone</t>
  </si>
  <si>
    <t>Drone</t>
  </si>
  <si>
    <t>Charger</t>
  </si>
  <si>
    <t>Gaming Console</t>
  </si>
  <si>
    <t>Marks</t>
  </si>
  <si>
    <t>Bharti</t>
  </si>
  <si>
    <t>Chetan</t>
  </si>
  <si>
    <t>Deepa</t>
  </si>
  <si>
    <t>Yash</t>
  </si>
  <si>
    <t>Simran</t>
  </si>
  <si>
    <t>Vijay</t>
  </si>
  <si>
    <t>Nisha</t>
  </si>
  <si>
    <t>Mohan</t>
  </si>
  <si>
    <t>Aarti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</si>
</sst>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8" formatCode="&quot;₹&quot;\ #,##0.00;[Red]&quot;₹&quot;\ \-#,##0.00"/>
    <numFmt numFmtId="164" formatCode="&quot;₹&quot;\ #,##0.00"/>
    <numFmt numFmtId="165" formatCode="[$-24009]mmmm\ dd\,\ yyyy;@"/>
  </numFmts>
  <fonts count="2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5" tint="0.59999389629810485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7" tint="0.79998168889431442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4" tint="0.79998168889431442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2F2F2"/>
      </patternFill>
    </fill>
    <fill>
      <patternFill patternType="solid">
        <fgColor theme="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8" tint="-0.499984740745262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92D050"/>
      </right>
      <top/>
      <bottom style="thin">
        <color rgb="FF92D050"/>
      </bottom>
      <diagonal/>
    </border>
    <border>
      <left style="thin">
        <color rgb="FF92D050"/>
      </left>
      <right style="thin">
        <color rgb="FF92D050"/>
      </right>
      <top/>
      <bottom style="thin">
        <color rgb="FF92D050"/>
      </bottom>
      <diagonal/>
    </border>
    <border>
      <left style="thin">
        <color rgb="FF92D050"/>
      </left>
      <right/>
      <top/>
      <bottom style="thin">
        <color rgb="FF92D050"/>
      </bottom>
      <diagonal/>
    </border>
    <border>
      <left/>
      <right style="thin">
        <color rgb="FF92D050"/>
      </right>
      <top style="thin">
        <color rgb="FF92D050"/>
      </top>
      <bottom style="thin">
        <color rgb="FF92D050"/>
      </bottom>
      <diagonal/>
    </border>
    <border>
      <left style="thin">
        <color rgb="FF92D050"/>
      </left>
      <right style="thin">
        <color rgb="FF92D050"/>
      </right>
      <top style="thin">
        <color rgb="FF92D050"/>
      </top>
      <bottom style="thin">
        <color rgb="FF92D050"/>
      </bottom>
      <diagonal/>
    </border>
    <border>
      <left style="thin">
        <color rgb="FF92D050"/>
      </left>
      <right/>
      <top style="thin">
        <color rgb="FF92D050"/>
      </top>
      <bottom style="thin">
        <color rgb="FF92D050"/>
      </bottom>
      <diagonal/>
    </border>
    <border>
      <left/>
      <right style="thin">
        <color rgb="FF92D050"/>
      </right>
      <top style="thin">
        <color rgb="FF92D050"/>
      </top>
      <bottom/>
      <diagonal/>
    </border>
    <border>
      <left style="thin">
        <color rgb="FF92D050"/>
      </left>
      <right style="thin">
        <color rgb="FF92D050"/>
      </right>
      <top style="thin">
        <color rgb="FF92D050"/>
      </top>
      <bottom/>
      <diagonal/>
    </border>
    <border>
      <left style="thin">
        <color rgb="FF92D050"/>
      </left>
      <right/>
      <top style="thin">
        <color rgb="FF92D050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ck">
        <color theme="3" tint="0.59996337778862885"/>
      </right>
      <top/>
      <bottom style="thick">
        <color theme="3" tint="0.59996337778862885"/>
      </bottom>
      <diagonal/>
    </border>
    <border>
      <left style="thick">
        <color theme="3" tint="0.59996337778862885"/>
      </left>
      <right style="thick">
        <color theme="3" tint="0.59996337778862885"/>
      </right>
      <top/>
      <bottom style="thick">
        <color theme="3" tint="0.59996337778862885"/>
      </bottom>
      <diagonal/>
    </border>
    <border>
      <left style="thick">
        <color theme="3" tint="0.59996337778862885"/>
      </left>
      <right/>
      <top/>
      <bottom style="thick">
        <color theme="3" tint="0.59996337778862885"/>
      </bottom>
      <diagonal/>
    </border>
    <border>
      <left/>
      <right style="thick">
        <color theme="3" tint="0.59996337778862885"/>
      </right>
      <top style="thick">
        <color theme="3" tint="0.59996337778862885"/>
      </top>
      <bottom style="thick">
        <color theme="3" tint="0.59996337778862885"/>
      </bottom>
      <diagonal/>
    </border>
    <border>
      <left style="thick">
        <color theme="3" tint="0.59996337778862885"/>
      </left>
      <right style="thick">
        <color theme="3" tint="0.59996337778862885"/>
      </right>
      <top style="thick">
        <color theme="3" tint="0.59996337778862885"/>
      </top>
      <bottom style="thick">
        <color theme="3" tint="0.59996337778862885"/>
      </bottom>
      <diagonal/>
    </border>
    <border>
      <left style="thick">
        <color theme="3" tint="0.59996337778862885"/>
      </left>
      <right/>
      <top style="thick">
        <color theme="3" tint="0.59996337778862885"/>
      </top>
      <bottom style="thick">
        <color theme="3" tint="0.59996337778862885"/>
      </bottom>
      <diagonal/>
    </border>
    <border>
      <left/>
      <right style="thick">
        <color theme="3" tint="0.59996337778862885"/>
      </right>
      <top style="thick">
        <color theme="3" tint="0.59996337778862885"/>
      </top>
      <bottom/>
      <diagonal/>
    </border>
    <border>
      <left style="thick">
        <color theme="3" tint="0.59996337778862885"/>
      </left>
      <right style="thick">
        <color theme="3" tint="0.59996337778862885"/>
      </right>
      <top style="thick">
        <color theme="3" tint="0.59996337778862885"/>
      </top>
      <bottom/>
      <diagonal/>
    </border>
    <border>
      <left style="thick">
        <color theme="3" tint="0.59996337778862885"/>
      </left>
      <right/>
      <top style="thick">
        <color theme="3" tint="0.59996337778862885"/>
      </top>
      <bottom/>
      <diagonal/>
    </border>
    <border>
      <left/>
      <right style="thin">
        <color theme="8" tint="-0.24994659260841701"/>
      </right>
      <top/>
      <bottom style="thin">
        <color theme="8" tint="-0.24994659260841701"/>
      </bottom>
      <diagonal/>
    </border>
    <border>
      <left style="thin">
        <color theme="8" tint="-0.24994659260841701"/>
      </left>
      <right style="thin">
        <color theme="8" tint="-0.24994659260841701"/>
      </right>
      <top/>
      <bottom style="thin">
        <color theme="8" tint="-0.24994659260841701"/>
      </bottom>
      <diagonal/>
    </border>
    <border>
      <left style="thin">
        <color theme="8" tint="-0.24994659260841701"/>
      </left>
      <right/>
      <top/>
      <bottom style="thin">
        <color theme="8" tint="-0.24994659260841701"/>
      </bottom>
      <diagonal/>
    </border>
    <border>
      <left/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/>
      <top style="thin">
        <color theme="8" tint="-0.24994659260841701"/>
      </top>
      <bottom style="thin">
        <color theme="8" tint="-0.24994659260841701"/>
      </bottom>
      <diagonal/>
    </border>
    <border>
      <left/>
      <right style="thin">
        <color theme="8" tint="-0.24994659260841701"/>
      </right>
      <top style="thin">
        <color theme="8" tint="-0.24994659260841701"/>
      </top>
      <bottom/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/>
      <diagonal/>
    </border>
    <border>
      <left style="thin">
        <color theme="8" tint="-0.24994659260841701"/>
      </left>
      <right/>
      <top style="thin">
        <color theme="8" tint="-0.24994659260841701"/>
      </top>
      <bottom/>
      <diagonal/>
    </border>
    <border>
      <left/>
      <right style="thick">
        <color theme="9" tint="-0.24994659260841701"/>
      </right>
      <top/>
      <bottom style="thick">
        <color theme="9" tint="-0.24994659260841701"/>
      </bottom>
      <diagonal/>
    </border>
    <border>
      <left style="thick">
        <color theme="9" tint="-0.24994659260841701"/>
      </left>
      <right/>
      <top/>
      <bottom style="thick">
        <color theme="9" tint="-0.24994659260841701"/>
      </bottom>
      <diagonal/>
    </border>
    <border>
      <left/>
      <right style="thick">
        <color theme="9" tint="-0.24994659260841701"/>
      </right>
      <top style="thick">
        <color theme="9" tint="-0.24994659260841701"/>
      </top>
      <bottom style="thick">
        <color theme="9" tint="-0.24994659260841701"/>
      </bottom>
      <diagonal/>
    </border>
    <border>
      <left style="thick">
        <color theme="9" tint="-0.24994659260841701"/>
      </left>
      <right/>
      <top style="thick">
        <color theme="9" tint="-0.24994659260841701"/>
      </top>
      <bottom style="thick">
        <color theme="9" tint="-0.24994659260841701"/>
      </bottom>
      <diagonal/>
    </border>
    <border>
      <left/>
      <right style="thick">
        <color theme="9" tint="-0.24994659260841701"/>
      </right>
      <top style="thick">
        <color theme="9" tint="-0.24994659260841701"/>
      </top>
      <bottom/>
      <diagonal/>
    </border>
    <border>
      <left style="thick">
        <color theme="9" tint="-0.24994659260841701"/>
      </left>
      <right/>
      <top style="thick">
        <color theme="9" tint="-0.24994659260841701"/>
      </top>
      <bottom/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 style="medium">
        <color theme="4" tint="0.39994506668294322"/>
      </left>
      <right style="medium">
        <color theme="4" tint="0.39994506668294322"/>
      </right>
      <top style="medium">
        <color theme="4" tint="0.39994506668294322"/>
      </top>
      <bottom style="medium">
        <color theme="4" tint="0.39994506668294322"/>
      </bottom>
      <diagonal/>
    </border>
  </borders>
  <cellStyleXfs count="4">
    <xf numFmtId="0" fontId="0" fillId="0" borderId="0"/>
    <xf numFmtId="9" fontId="3" fillId="0" borderId="0" applyFont="0" applyFill="0" applyBorder="0" applyAlignment="0" applyProtection="0"/>
    <xf numFmtId="0" fontId="4" fillId="3" borderId="19" applyNumberFormat="0" applyAlignment="0" applyProtection="0"/>
    <xf numFmtId="0" fontId="5" fillId="4" borderId="0" applyNumberFormat="0" applyBorder="0" applyAlignment="0" applyProtection="0"/>
  </cellStyleXfs>
  <cellXfs count="85">
    <xf numFmtId="0" fontId="0" fillId="0" borderId="0" xfId="0"/>
    <xf numFmtId="14" fontId="0" fillId="0" borderId="0" xfId="0" applyNumberFormat="1"/>
    <xf numFmtId="8" fontId="0" fillId="0" borderId="0" xfId="0" applyNumberFormat="1"/>
    <xf numFmtId="0" fontId="7" fillId="0" borderId="0" xfId="0" applyFont="1"/>
    <xf numFmtId="0" fontId="7" fillId="0" borderId="0" xfId="0" applyFont="1" applyAlignment="1">
      <alignment horizontal="center"/>
    </xf>
    <xf numFmtId="0" fontId="0" fillId="0" borderId="0" xfId="0" applyAlignment="1">
      <alignment horizontal="left"/>
    </xf>
    <xf numFmtId="164" fontId="10" fillId="5" borderId="8" xfId="0" applyNumberFormat="1" applyFont="1" applyFill="1" applyBorder="1" applyAlignment="1">
      <alignment horizontal="left"/>
    </xf>
    <xf numFmtId="164" fontId="0" fillId="0" borderId="0" xfId="0" applyNumberFormat="1"/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horizontal="center" vertical="center" wrapText="1"/>
    </xf>
    <xf numFmtId="0" fontId="13" fillId="6" borderId="20" xfId="0" applyFont="1" applyFill="1" applyBorder="1" applyAlignment="1">
      <alignment horizontal="center" vertical="center"/>
    </xf>
    <xf numFmtId="0" fontId="13" fillId="6" borderId="21" xfId="0" applyFont="1" applyFill="1" applyBorder="1" applyAlignment="1">
      <alignment horizontal="center" vertical="center"/>
    </xf>
    <xf numFmtId="164" fontId="13" fillId="6" borderId="22" xfId="0" applyNumberFormat="1" applyFont="1" applyFill="1" applyBorder="1" applyAlignment="1">
      <alignment horizontal="center" vertic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164" fontId="0" fillId="0" borderId="25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164" fontId="0" fillId="0" borderId="28" xfId="0" applyNumberFormat="1" applyBorder="1" applyAlignment="1">
      <alignment horizontal="center"/>
    </xf>
    <xf numFmtId="0" fontId="13" fillId="0" borderId="29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/>
    </xf>
    <xf numFmtId="0" fontId="11" fillId="0" borderId="33" xfId="0" applyFont="1" applyBorder="1" applyAlignment="1">
      <alignment horizontal="center"/>
    </xf>
    <xf numFmtId="0" fontId="11" fillId="0" borderId="34" xfId="0" applyFont="1" applyBorder="1" applyAlignment="1">
      <alignment horizontal="center"/>
    </xf>
    <xf numFmtId="0" fontId="11" fillId="0" borderId="35" xfId="0" applyFont="1" applyBorder="1" applyAlignment="1">
      <alignment horizontal="center"/>
    </xf>
    <xf numFmtId="0" fontId="11" fillId="0" borderId="36" xfId="0" applyFont="1" applyBorder="1" applyAlignment="1">
      <alignment horizontal="center"/>
    </xf>
    <xf numFmtId="0" fontId="11" fillId="0" borderId="37" xfId="0" applyFont="1" applyBorder="1" applyAlignment="1">
      <alignment horizontal="center"/>
    </xf>
    <xf numFmtId="0" fontId="0" fillId="0" borderId="40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14" fillId="6" borderId="38" xfId="0" applyFont="1" applyFill="1" applyBorder="1" applyAlignment="1">
      <alignment horizontal="center" vertical="center"/>
    </xf>
    <xf numFmtId="0" fontId="14" fillId="6" borderId="39" xfId="0" applyFont="1" applyFill="1" applyBorder="1" applyAlignment="1">
      <alignment horizontal="center" vertical="center"/>
    </xf>
    <xf numFmtId="0" fontId="15" fillId="0" borderId="44" xfId="0" applyFont="1" applyBorder="1" applyAlignment="1">
      <alignment horizontal="center" vertical="center" wrapText="1"/>
    </xf>
    <xf numFmtId="0" fontId="15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3" fillId="7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165" fontId="11" fillId="0" borderId="1" xfId="0" applyNumberFormat="1" applyFont="1" applyBorder="1" applyAlignment="1">
      <alignment horizontal="center" vertical="center"/>
    </xf>
    <xf numFmtId="164" fontId="11" fillId="0" borderId="8" xfId="0" applyNumberFormat="1" applyFont="1" applyBorder="1" applyAlignment="1">
      <alignment horizontal="center" vertical="center"/>
    </xf>
    <xf numFmtId="0" fontId="12" fillId="3" borderId="19" xfId="2" applyFont="1" applyAlignment="1">
      <alignment horizontal="center" vertical="center"/>
    </xf>
    <xf numFmtId="10" fontId="12" fillId="3" borderId="19" xfId="1" applyNumberFormat="1" applyFont="1" applyFill="1" applyBorder="1" applyAlignment="1">
      <alignment horizontal="center" vertical="center"/>
    </xf>
    <xf numFmtId="0" fontId="9" fillId="4" borderId="0" xfId="3" applyFont="1" applyAlignment="1">
      <alignment horizontal="left" vertical="center"/>
    </xf>
    <xf numFmtId="0" fontId="9" fillId="4" borderId="0" xfId="3" applyFont="1" applyAlignment="1">
      <alignment vertical="center"/>
    </xf>
    <xf numFmtId="10" fontId="9" fillId="4" borderId="0" xfId="1" applyNumberFormat="1" applyFont="1" applyFill="1" applyAlignment="1">
      <alignment horizontal="left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8" fillId="8" borderId="10" xfId="0" applyFont="1" applyFill="1" applyBorder="1" applyAlignment="1">
      <alignment horizontal="center" vertical="center"/>
    </xf>
    <xf numFmtId="0" fontId="8" fillId="8" borderId="11" xfId="0" applyFont="1" applyFill="1" applyBorder="1" applyAlignment="1">
      <alignment horizontal="center" vertical="center"/>
    </xf>
    <xf numFmtId="164" fontId="8" fillId="8" borderId="11" xfId="0" applyNumberFormat="1" applyFont="1" applyFill="1" applyBorder="1" applyAlignment="1">
      <alignment horizontal="center" vertical="center"/>
    </xf>
    <xf numFmtId="0" fontId="8" fillId="8" borderId="12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14" fontId="6" fillId="0" borderId="4" xfId="0" applyNumberFormat="1" applyFont="1" applyBorder="1" applyAlignment="1">
      <alignment horizontal="center" vertical="center"/>
    </xf>
    <xf numFmtId="8" fontId="6" fillId="0" borderId="6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8" fontId="11" fillId="0" borderId="1" xfId="0" applyNumberFormat="1" applyFont="1" applyBorder="1" applyAlignment="1">
      <alignment horizontal="center" vertical="center"/>
    </xf>
    <xf numFmtId="14" fontId="11" fillId="0" borderId="8" xfId="0" applyNumberFormat="1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8" fontId="11" fillId="0" borderId="9" xfId="0" applyNumberFormat="1" applyFont="1" applyBorder="1" applyAlignment="1">
      <alignment horizontal="center" vertical="center"/>
    </xf>
    <xf numFmtId="14" fontId="11" fillId="0" borderId="2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0" fillId="5" borderId="7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/>
    </xf>
    <xf numFmtId="164" fontId="0" fillId="0" borderId="41" xfId="0" applyNumberFormat="1" applyBorder="1" applyAlignment="1">
      <alignment horizontal="center" vertical="center"/>
    </xf>
    <xf numFmtId="164" fontId="0" fillId="0" borderId="43" xfId="0" applyNumberFormat="1" applyBorder="1" applyAlignment="1">
      <alignment horizontal="center" vertical="center"/>
    </xf>
    <xf numFmtId="164" fontId="17" fillId="0" borderId="46" xfId="0" applyNumberFormat="1" applyFont="1" applyBorder="1" applyAlignment="1">
      <alignment horizontal="center" vertical="center"/>
    </xf>
    <xf numFmtId="164" fontId="19" fillId="0" borderId="0" xfId="0" applyNumberFormat="1" applyFont="1" applyAlignment="1">
      <alignment horizontal="center" vertical="center"/>
    </xf>
  </cellXfs>
  <cellStyles count="4">
    <cellStyle name="Accent6" xfId="3" builtinId="49"/>
    <cellStyle name="Calculation" xfId="2" builtinId="22"/>
    <cellStyle name="Normal" xfId="0" builtinId="0"/>
    <cellStyle name="Percent" xfId="1" builtinId="5"/>
  </cellStyles>
  <dxfs count="91">
    <dxf>
      <font>
        <b/>
        <strike val="0"/>
        <outline val="0"/>
        <shadow val="0"/>
        <u val="none"/>
        <vertAlign val="baseline"/>
        <sz val="11"/>
        <color theme="7" tint="-0.499984740745262"/>
        <name val="Calibri"/>
        <family val="2"/>
        <scheme val="minor"/>
      </font>
      <numFmt numFmtId="164" formatCode="&quot;₹&quot;\ #,##0.00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7" tint="-0.499984740745262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5" tint="-0.249977111117893"/>
        <name val="Calibri"/>
        <family val="2"/>
        <scheme val="minor"/>
      </font>
      <numFmt numFmtId="164" formatCode="&quot;₹&quot;\ #,##0.00"/>
      <alignment horizontal="center" vertical="center" textRotation="0" wrapText="0" indent="0" justifyLastLine="0" shrinkToFit="0" readingOrder="0"/>
      <border diagonalUp="0" diagonalDown="0" outline="0">
        <left style="medium">
          <color theme="4" tint="0.39994506668294322"/>
        </left>
        <right style="medium">
          <color theme="4" tint="0.39994506668294322"/>
        </right>
        <top style="medium">
          <color theme="4" tint="0.39994506668294322"/>
        </top>
        <bottom style="medium">
          <color theme="4" tint="0.39994506668294322"/>
        </bottom>
      </border>
    </dxf>
    <dxf>
      <font>
        <strike val="0"/>
        <outline val="0"/>
        <shadow val="0"/>
        <u val="none"/>
        <vertAlign val="baseline"/>
        <sz val="11"/>
        <color theme="9" tint="-0.499984740745262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medium">
          <color theme="4" tint="0.39994506668294322"/>
        </left>
        <right style="medium">
          <color theme="4" tint="0.39994506668294322"/>
        </right>
        <top style="medium">
          <color theme="4" tint="0.39994506668294322"/>
        </top>
        <bottom style="medium">
          <color theme="4" tint="0.39994506668294322"/>
        </bottom>
      </border>
    </dxf>
    <dxf>
      <numFmt numFmtId="164" formatCode="&quot;₹&quot;\ #,##0.00"/>
      <alignment horizontal="center" vertical="center" textRotation="0" wrapText="0" indent="0" justifyLastLine="0" shrinkToFit="0" readingOrder="0"/>
      <border diagonalUp="0" diagonalDown="0" outline="0">
        <left style="thick">
          <color theme="9" tint="-0.24994659260841701"/>
        </left>
        <right/>
        <top style="thick">
          <color theme="9" tint="-0.24994659260841701"/>
        </top>
        <bottom style="thick">
          <color theme="9" tint="-0.2499465926084170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ck">
          <color theme="9" tint="-0.24994659260841701"/>
        </right>
        <top style="thick">
          <color theme="9" tint="-0.24994659260841701"/>
        </top>
        <bottom style="thick">
          <color theme="9" tint="-0.24994659260841701"/>
        </bottom>
      </border>
    </dxf>
    <dxf>
      <font>
        <color theme="3" tint="0.79998168889431442"/>
      </font>
      <fill>
        <patternFill>
          <bgColor theme="9" tint="-0.499984740745262"/>
        </patternFill>
      </fill>
    </dxf>
    <dxf>
      <font>
        <color theme="4" tint="-0.2499465926084170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4" tint="-0.499984740745262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4" tint="-0.499984740745262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4" tint="-0.499984740745262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9" tint="-0.499984740745262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2" tint="-0.749992370372631"/>
        </patternFill>
      </fill>
      <alignment horizontal="center" vertical="center" textRotation="0" wrapText="0" indent="0" justifyLastLine="0" shrinkToFit="0" readingOrder="0"/>
    </dxf>
    <dxf>
      <border>
        <top style="thick">
          <color theme="9" tint="-0.24994659260841701"/>
        </top>
      </border>
    </dxf>
    <dxf>
      <border diagonalUp="0" diagonalDown="0">
        <left/>
        <right/>
        <top style="thick">
          <color theme="9" tint="-0.24994659260841701"/>
        </top>
        <bottom style="thick">
          <color theme="9" tint="-0.24994659260841701"/>
        </bottom>
      </border>
    </dxf>
    <dxf>
      <alignment horizontal="center" vertical="center" textRotation="0" wrapText="0" indent="0" justifyLastLine="0" shrinkToFit="0" readingOrder="0"/>
    </dxf>
    <dxf>
      <border>
        <bottom style="thick">
          <color theme="9" tint="-0.24994659260841701"/>
        </bottom>
      </border>
    </dxf>
    <dxf>
      <font>
        <b/>
        <strike val="0"/>
        <outline val="0"/>
        <shadow val="0"/>
        <u val="none"/>
        <vertAlign val="baseline"/>
        <sz val="12"/>
        <color theme="4" tint="0.79998168889431442"/>
        <name val="Calibri"/>
        <family val="2"/>
        <scheme val="minor"/>
      </font>
      <fill>
        <patternFill patternType="solid">
          <fgColor indexed="64"/>
          <bgColor theme="3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theme="9" tint="-0.24994659260841701"/>
        </left>
        <right style="thick">
          <color theme="9" tint="-0.24994659260841701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4" tint="-0.499984740745262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theme="8" tint="-0.24994659260841701"/>
        </left>
        <right/>
        <top style="thin">
          <color theme="8" tint="-0.24994659260841701"/>
        </top>
        <bottom style="thin">
          <color theme="8" tint="-0.24994659260841701"/>
        </bottom>
      </border>
    </dxf>
    <dxf>
      <font>
        <strike val="0"/>
        <outline val="0"/>
        <shadow val="0"/>
        <u val="none"/>
        <vertAlign val="baseline"/>
        <sz val="11"/>
        <color theme="4" tint="-0.499984740745262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theme="8" tint="-0.24994659260841701"/>
        </left>
        <right/>
        <top style="thin">
          <color theme="8" tint="-0.24994659260841701"/>
        </top>
        <bottom style="thin">
          <color theme="8" tint="-0.24994659260841701"/>
        </bottom>
      </border>
    </dxf>
    <dxf>
      <font>
        <strike val="0"/>
        <outline val="0"/>
        <shadow val="0"/>
        <u val="none"/>
        <vertAlign val="baseline"/>
        <sz val="11"/>
        <color theme="4" tint="-0.499984740745262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8" tint="-0.24994659260841701"/>
        </left>
        <right/>
        <top style="thin">
          <color theme="8" tint="-0.24994659260841701"/>
        </top>
        <bottom style="thin">
          <color theme="8" tint="-0.24994659260841701"/>
        </bottom>
      </border>
    </dxf>
    <dxf>
      <font>
        <strike val="0"/>
        <outline val="0"/>
        <shadow val="0"/>
        <u val="none"/>
        <vertAlign val="baseline"/>
        <sz val="11"/>
        <color theme="4" tint="-0.499984740745262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font>
        <strike val="0"/>
        <outline val="0"/>
        <shadow val="0"/>
        <u val="none"/>
        <vertAlign val="baseline"/>
        <sz val="11"/>
        <color theme="4" tint="-0.499984740745262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font>
        <strike val="0"/>
        <outline val="0"/>
        <shadow val="0"/>
        <u val="none"/>
        <vertAlign val="baseline"/>
        <sz val="11"/>
        <color theme="4" tint="-0.499984740745262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font>
        <strike val="0"/>
        <outline val="0"/>
        <shadow val="0"/>
        <u val="none"/>
        <vertAlign val="baseline"/>
        <sz val="11"/>
        <color theme="4" tint="-0.499984740745262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font>
        <b val="0"/>
        <strike val="0"/>
        <outline val="0"/>
        <shadow val="0"/>
        <u val="none"/>
        <vertAlign val="baseline"/>
        <sz val="11"/>
        <color theme="4" tint="-0.499984740745262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top style="thin">
          <color theme="8" tint="-0.24994659260841701"/>
        </top>
      </border>
    </dxf>
    <dxf>
      <border diagonalUp="0" diagonalDown="0">
        <left/>
        <right/>
        <top style="thin">
          <color theme="8" tint="-0.24994659260841701"/>
        </top>
        <bottom style="thin">
          <color theme="8" tint="-0.24994659260841701"/>
        </bottom>
      </border>
    </dxf>
    <dxf>
      <font>
        <strike val="0"/>
        <outline val="0"/>
        <shadow val="0"/>
        <u val="none"/>
        <vertAlign val="baseline"/>
        <sz val="11"/>
        <color theme="4" tint="-0.499984740745262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>
        <bottom style="thin">
          <color theme="8" tint="-0.24994659260841701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8" tint="-0.24994659260841701"/>
        </left>
        <right style="thin">
          <color theme="8" tint="-0.24994659260841701"/>
        </right>
        <top/>
        <bottom/>
      </border>
    </dxf>
    <dxf>
      <alignment horizontal="center" vertical="center" textRotation="0" indent="0" justifyLastLine="0" shrinkToFit="0" readingOrder="0"/>
    </dxf>
    <dxf>
      <numFmt numFmtId="164" formatCode="&quot;₹&quot;\ #,##0.00"/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164" formatCode="&quot;₹&quot;\ #,##0.00"/>
      <alignment horizontal="center" vertical="center" textRotation="0" wrapText="0" indent="0" justifyLastLine="0" shrinkToFit="0" readingOrder="0"/>
    </dxf>
    <dxf>
      <numFmt numFmtId="164" formatCode="&quot;₹&quot;\ #,##0.00"/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&quot;₹&quot;\ #,##0.00"/>
      <alignment horizontal="center" vertical="bottom" textRotation="0" wrapText="0" indent="0" justifyLastLine="0" shrinkToFit="0" readingOrder="0"/>
      <border diagonalUp="0" diagonalDown="0">
        <left style="thick">
          <color theme="3" tint="0.59996337778862885"/>
        </left>
        <right/>
        <top style="thick">
          <color theme="3" tint="0.59996337778862885"/>
        </top>
        <bottom style="thick">
          <color theme="3" tint="0.59996337778862885"/>
        </bottom>
        <vertical style="thick">
          <color theme="3" tint="0.59996337778862885"/>
        </vertical>
        <horizontal style="thick">
          <color theme="3" tint="0.59996337778862885"/>
        </horizontal>
      </border>
    </dxf>
    <dxf>
      <alignment horizontal="center" textRotation="0" wrapText="0" indent="0" justifyLastLine="0" shrinkToFit="0" readingOrder="0"/>
      <border diagonalUp="0" diagonalDown="0">
        <left style="thick">
          <color theme="3" tint="0.59996337778862885"/>
        </left>
        <right style="thick">
          <color theme="3" tint="0.59996337778862885"/>
        </right>
        <top style="thick">
          <color theme="3" tint="0.59996337778862885"/>
        </top>
        <bottom style="thick">
          <color theme="3" tint="0.59996337778862885"/>
        </bottom>
        <vertical style="thick">
          <color theme="3" tint="0.59996337778862885"/>
        </vertical>
        <horizontal style="thick">
          <color theme="3" tint="0.59996337778862885"/>
        </horizontal>
      </border>
    </dxf>
    <dxf>
      <alignment horizontal="center" textRotation="0" wrapText="0" indent="0" justifyLastLine="0" shrinkToFit="0" readingOrder="0"/>
      <border diagonalUp="0" diagonalDown="0">
        <left/>
        <right style="thick">
          <color theme="3" tint="0.59996337778862885"/>
        </right>
        <top style="thick">
          <color theme="3" tint="0.59996337778862885"/>
        </top>
        <bottom style="thick">
          <color theme="3" tint="0.59996337778862885"/>
        </bottom>
        <vertical style="thick">
          <color theme="3" tint="0.59996337778862885"/>
        </vertical>
        <horizontal style="thick">
          <color theme="3" tint="0.59996337778862885"/>
        </horizontal>
      </border>
    </dxf>
    <dxf>
      <border>
        <top style="thick">
          <color theme="3" tint="0.59996337778862885"/>
        </top>
      </border>
    </dxf>
    <dxf>
      <border diagonalUp="0" diagonalDown="0">
        <left/>
        <right/>
        <top style="thick">
          <color theme="3" tint="0.59996337778862885"/>
        </top>
        <bottom style="thick">
          <color theme="3" tint="0.59996337778862885"/>
        </bottom>
      </border>
    </dxf>
    <dxf>
      <alignment horizontal="center" textRotation="0" wrapText="0" indent="0" justifyLastLine="0" shrinkToFit="0" readingOrder="0"/>
    </dxf>
    <dxf>
      <border>
        <bottom style="thick">
          <color theme="3" tint="0.5999633777886288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3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theme="3" tint="0.59996337778862885"/>
        </left>
        <right style="thick">
          <color theme="3" tint="0.59996337778862885"/>
        </right>
        <top/>
        <bottom/>
        <vertical style="thick">
          <color theme="3" tint="0.59996337778862885"/>
        </vertical>
        <horizontal style="thick">
          <color theme="3" tint="0.59996337778862885"/>
        </horizontal>
      </border>
    </dxf>
    <dxf>
      <font>
        <strike val="0"/>
        <outline val="0"/>
        <shadow val="0"/>
        <u val="none"/>
        <vertAlign val="baseline"/>
        <sz val="11"/>
        <color theme="4" tint="-0.499984740745262"/>
        <name val="Calibri"/>
        <family val="2"/>
        <scheme val="minor"/>
      </font>
      <numFmt numFmtId="164" formatCode="&quot;₹&quot;\ 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4" tint="-0.499984740745262"/>
        <name val="Calibri"/>
        <family val="2"/>
        <scheme val="minor"/>
      </font>
      <numFmt numFmtId="165" formatCode="[$-24009]mmmm\ dd\,\ 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4" tint="-0.499984740745262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4" tint="-0.499984740745262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4" tint="-0.499984740745262"/>
        <name val="Calibri"/>
        <family val="2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4" tint="-0.499984740745262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4" tint="-0.499984740745262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4" tint="-0.499984740745262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4" tint="-0.499984740745262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4" tint="-0.499984740745262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4" tint="-0.499984740745262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alignment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92D050"/>
        </left>
        <right/>
        <top style="thin">
          <color rgb="FF92D050"/>
        </top>
        <bottom style="thin">
          <color rgb="FF92D050"/>
        </bottom>
      </border>
    </dxf>
    <dxf>
      <numFmt numFmtId="164" formatCode="&quot;₹&quot;\ #,##0.00"/>
      <alignment horizontal="center" vertical="center" textRotation="0" wrapText="0" indent="0" justifyLastLine="0" shrinkToFit="0" readingOrder="0"/>
      <border diagonalUp="0" diagonalDown="0" outline="0">
        <left style="thin">
          <color rgb="FF92D050"/>
        </left>
        <right style="thin">
          <color rgb="FF92D050"/>
        </right>
        <top style="thin">
          <color rgb="FF92D050"/>
        </top>
        <bottom style="thin">
          <color rgb="FF92D05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92D050"/>
        </left>
        <right style="thin">
          <color rgb="FF92D050"/>
        </right>
        <top style="thin">
          <color rgb="FF92D050"/>
        </top>
        <bottom style="thin">
          <color rgb="FF92D05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92D050"/>
        </right>
        <top style="thin">
          <color rgb="FF92D050"/>
        </top>
        <bottom style="thin">
          <color rgb="FF92D050"/>
        </bottom>
      </border>
    </dxf>
    <dxf>
      <border>
        <top style="thin">
          <color rgb="FF92D050"/>
        </top>
      </border>
    </dxf>
    <dxf>
      <border diagonalUp="0" diagonalDown="0">
        <left style="thin">
          <color rgb="FF92D050"/>
        </left>
        <right style="thin">
          <color rgb="FF92D050"/>
        </right>
        <top style="thin">
          <color theme="1" tint="0.499984740745262"/>
        </top>
        <bottom style="thin">
          <color rgb="FF92D05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92D05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7" tint="0.79998168889431442"/>
        <name val="Calibri"/>
        <family val="2"/>
        <scheme val="minor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92D050"/>
        </left>
        <right style="thin">
          <color rgb="FF92D050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4" tint="-0.499984740745262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4" tint="-0.499984740745262"/>
        <name val="Calibri"/>
        <family val="2"/>
        <scheme val="minor"/>
      </font>
      <numFmt numFmtId="12" formatCode="&quot;₹&quot;\ #,##0.00;[Red]&quot;₹&quot;\ \-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4" tint="-0.499984740745262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4" tint="-0.499984740745262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4" tint="-0.499984740745262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4" tint="-0.499984740745262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rgb="FFFF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outline val="0"/>
        <shadow val="0"/>
        <u val="none"/>
        <vertAlign val="baseline"/>
        <sz val="11"/>
        <color theme="7" tint="-0.499984740745262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color theme="4" tint="0.79998168889431442"/>
      </font>
    </dxf>
    <dxf>
      <font>
        <color theme="4"/>
      </font>
    </dxf>
  </dxfs>
  <tableStyles count="1" defaultTableStyle="TableStyleMedium2" defaultPivotStyle="PivotStyleLight16">
    <tableStyle name="Table Style 1" pivot="0" count="2" xr9:uid="{B78335F4-5BE5-4178-8D6E-F66C97B4357E}">
      <tableStyleElement type="headerRow" dxfId="90"/>
      <tableStyleElement type="totalRow" dxfId="89"/>
    </tableStyle>
  </tableStyles>
  <colors>
    <mruColors>
      <color rgb="FF99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8EDF50-4C6E-4385-A1D2-23751C47C801}" name="Table1" displayName="Table1" ref="A1:E21" totalsRowShown="0" headerRowDxfId="86" dataDxfId="84" headerRowBorderDxfId="85" tableBorderDxfId="83" totalsRowBorderDxfId="82">
  <autoFilter ref="A1:E21" xr:uid="{CA8EDF50-4C6E-4385-A1D2-23751C47C801}"/>
  <tableColumns count="5">
    <tableColumn id="1" xr3:uid="{BA9E4926-B610-49A5-A794-5DEDE7F6D265}" name="Employee ID" dataDxfId="81"/>
    <tableColumn id="2" xr3:uid="{43BBB7F1-B4ED-4BEC-91CA-66DC3CC42B9A}" name="Name" dataDxfId="80"/>
    <tableColumn id="3" xr3:uid="{3F6A9EF1-D3F5-4287-84AF-363AC6A6FBA6}" name="Department" dataDxfId="79"/>
    <tableColumn id="4" xr3:uid="{0E08B361-E12B-450D-BB3F-AACB595FFFD7}" name="Salary" dataDxfId="78"/>
    <tableColumn id="5" xr3:uid="{9418C763-CA0F-4D99-8749-C51066371EC7}" name="Joining Date" dataDxfId="77"/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64B0E84-4762-412A-B3DA-72555DF9E56E}" name="Table2" displayName="Table2" ref="A2:D22" totalsRowShown="0" headerRowDxfId="76" dataDxfId="74" headerRowBorderDxfId="75" tableBorderDxfId="73" totalsRowBorderDxfId="72">
  <autoFilter ref="A2:D22" xr:uid="{764B0E84-4762-412A-B3DA-72555DF9E56E}"/>
  <tableColumns count="4">
    <tableColumn id="1" xr3:uid="{68B9E3E3-DE59-421C-BD81-706855CC7547}" name="Product Name" dataDxfId="71"/>
    <tableColumn id="2" xr3:uid="{0E047C86-2956-4BD9-B629-F82E042A778E}" name="Region" dataDxfId="70"/>
    <tableColumn id="3" xr3:uid="{349862E8-6B01-42E0-9FA4-D25CD6587C41}" name="Sales Amount" dataDxfId="69"/>
    <tableColumn id="4" xr3:uid="{3A5ECAFD-08A8-49A8-A707-5A867D9A2CE4}" name="Salesperson" dataDxfId="68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065D026-CECC-4418-A424-D5F6B56B8761}" name="Table3" displayName="Table3" ref="A1:F21" totalsRowShown="0" headerRowDxfId="67" dataDxfId="66" headerRowCellStyle="Accent6" dataCellStyle="Calculation">
  <autoFilter ref="A1:F21" xr:uid="{2065D026-CECC-4418-A424-D5F6B56B8761}"/>
  <tableColumns count="6">
    <tableColumn id="1" xr3:uid="{5CE445BA-7068-4E82-964C-5748CB064D8C}" name="Roll No" dataDxfId="65" dataCellStyle="Calculation"/>
    <tableColumn id="2" xr3:uid="{50AC6331-CC22-46DE-8B99-9562569026AB}" name="Student Name" dataDxfId="64" dataCellStyle="Calculation"/>
    <tableColumn id="3" xr3:uid="{9CCE432A-683F-4A4F-95CB-91A19A88B6FB}" name="Maths" dataDxfId="63" dataCellStyle="Calculation"/>
    <tableColumn id="4" xr3:uid="{5571FBEB-9C93-4247-9F32-41DC97821F45}" name="Science" dataDxfId="62" dataCellStyle="Calculation"/>
    <tableColumn id="5" xr3:uid="{0529ED89-7159-4D1D-8231-F25ED92BF9A8}" name="English" dataDxfId="61" dataCellStyle="Calculation"/>
    <tableColumn id="6" xr3:uid="{B635DFF8-4719-4A1B-BD32-E90302C4B599}" name="Percentage" dataDxfId="60" dataCellStyle="Percent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C8952DA-6502-4BE4-BD0D-81E48EA479E6}" name="Table4" displayName="Table4" ref="A1:C21" totalsRowShown="0" headerRowDxfId="59" dataDxfId="58">
  <autoFilter ref="A1:C21" xr:uid="{5C8952DA-6502-4BE4-BD0D-81E48EA479E6}"/>
  <tableColumns count="3">
    <tableColumn id="1" xr3:uid="{85D67F85-C129-405D-B149-CA0983A0D78C}" name="Invoice No" dataDxfId="57"/>
    <tableColumn id="2" xr3:uid="{57694DB7-CCCD-4D3E-99FF-E39052D6B7E3}" name="Date" dataDxfId="56"/>
    <tableColumn id="3" xr3:uid="{5D648BEA-4F9A-451B-A1A3-1DA66CEC417F}" name="Sales Amount" dataDxfId="55"/>
  </tableColumns>
  <tableStyleInfo name="TableStyleMedium1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0117B3C-0AEB-4E72-9272-F7C13B570B97}" name="Table5" displayName="Table5" ref="A1:C21" totalsRowShown="0" headerRowDxfId="54" dataDxfId="52" headerRowBorderDxfId="53" tableBorderDxfId="51" totalsRowBorderDxfId="50">
  <autoFilter ref="A1:C21" xr:uid="{B0117B3C-0AEB-4E72-9272-F7C13B570B97}"/>
  <tableColumns count="3">
    <tableColumn id="1" xr3:uid="{B31A5AE8-AC0B-4264-8016-2F004F880ED1}" name="Employee Name" dataDxfId="49"/>
    <tableColumn id="2" xr3:uid="{288769D2-CE25-49B1-915D-6C616D6532B1}" name="Department" dataDxfId="48"/>
    <tableColumn id="3" xr3:uid="{8B7F0BB3-7456-46C9-8413-5A7C41B6BBB3}" name="Salary" dataDxfId="47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2DC59F4-D241-4374-BE6F-09D2C1B273F3}" name="Table6" displayName="Table6" ref="A23:G26" totalsRowShown="0" headerRowDxfId="46" dataDxfId="45">
  <autoFilter ref="A23:G26" xr:uid="{C2DC59F4-D241-4374-BE6F-09D2C1B273F3}"/>
  <tableColumns count="7">
    <tableColumn id="1" xr3:uid="{74071E07-3279-4EEF-9DD6-4208A9E6914D}" name="DEPARTMENTS" dataDxfId="44"/>
    <tableColumn id="2" xr3:uid="{7533F37B-7998-4D0B-8166-A8A28BA55616}" name="TOTAL SALARY_x000a_(Per Department)" dataDxfId="43"/>
    <tableColumn id="3" xr3:uid="{1458785E-2611-4D3E-83B5-AFCD850EC5B0}" name="AVERAGE_x000a_(Per Department)" dataDxfId="42"/>
    <tableColumn id="4" xr3:uid="{CE29F9B8-E781-4EE5-9D14-CF02FAA1FB6D}" name="TOTAL EMPLOYEES_x000a_(Per Department)" dataDxfId="41"/>
    <tableColumn id="7" xr3:uid="{CF0FE4D9-43AD-4652-9DF6-504378537980}" name="TOTAL EMPLOYEES_x000a_(All Departments)" dataDxfId="40"/>
    <tableColumn id="5" xr3:uid="{7E2764C6-1DCA-4758-9920-C3B57E00C902}" name="GRAND AVERAGE" dataDxfId="39">
      <calculatedColumnFormula>40000</calculatedColumnFormula>
    </tableColumn>
    <tableColumn id="6" xr3:uid="{54AE6513-65A5-48B3-8052-59FE3B5FD62B}" name="GRAND TOTAL" dataDxfId="38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9CD5BD5-6E67-4C04-8550-3B120D1B7CBE}" name="Table7" displayName="Table7" ref="A1:H21" totalsRowShown="0" headerRowDxfId="37" dataDxfId="35" headerRowBorderDxfId="36" tableBorderDxfId="34" totalsRowBorderDxfId="33">
  <autoFilter ref="A1:H21" xr:uid="{79CD5BD5-6E67-4C04-8550-3B120D1B7CBE}"/>
  <tableColumns count="8">
    <tableColumn id="1" xr3:uid="{7A7DE9B0-BA89-441C-8775-D6FAAD5BEE79}" name="Student Name" dataDxfId="32"/>
    <tableColumn id="2" xr3:uid="{6EB43C18-0D23-4BFF-9137-617C990489B9}" name="Day 1" dataDxfId="31"/>
    <tableColumn id="3" xr3:uid="{7E6CD634-B50C-46E8-9B7B-3839F3AC4052}" name="Day 2" dataDxfId="30"/>
    <tableColumn id="4" xr3:uid="{C36CBA4B-4DFE-4AFE-85C5-4C362516E02B}" name="Day 3" dataDxfId="29"/>
    <tableColumn id="5" xr3:uid="{701E3C6C-7CCA-4FF9-9209-80093599EB69}" name="Day 4" dataDxfId="28"/>
    <tableColumn id="6" xr3:uid="{E02A4CA6-D06E-45D6-8BFC-EEBEB16A6DB3}" name="Day 5" dataDxfId="27"/>
    <tableColumn id="8" xr3:uid="{CEEE7FB7-8C7D-45FB-8DD5-4FB9AE0D2DFA}" name="PRESENT DAYS" dataDxfId="26">
      <calculatedColumnFormula>COUNTIF(B2:F2,"P")</calculatedColumnFormula>
    </tableColumn>
    <tableColumn id="7" xr3:uid="{AEB8F6C5-33D9-45C1-9D5A-3E98C33E41BD}" name="ABSENT DAYS" dataDxfId="25">
      <calculatedColumnFormula>COUNTIF(B2:F2,"A")</calculatedColumnFormula>
    </tableColumn>
  </tableColumns>
  <tableStyleInfo name="TableStyleLight10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F248D8F-E8BB-4FCC-9CD0-205299ECC222}" name="Table8" displayName="Table8" ref="A1:B21" totalsRowShown="0" headerRowDxfId="24" dataDxfId="22" headerRowBorderDxfId="23" tableBorderDxfId="21" totalsRowBorderDxfId="20">
  <autoFilter ref="A1:B21" xr:uid="{3F248D8F-E8BB-4FCC-9CD0-205299ECC222}"/>
  <tableColumns count="2">
    <tableColumn id="1" xr3:uid="{ADEC3E02-268C-4001-B477-1C95BBF8B0A7}" name="Order ID" dataDxfId="5"/>
    <tableColumn id="2" xr3:uid="{ABDA9C23-4985-4ED8-BEC5-53F04C6B1801}" name="Sales Amount" dataDxfId="4"/>
  </tableColumns>
  <tableStyleInfo name="Table Style 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1DA531C-2F68-4EA8-8798-345E7DEF107C}" name="Table9" displayName="Table9" ref="A1:B21" totalsRowShown="0" headerRowDxfId="19" dataDxfId="18">
  <autoFilter ref="A1:B21" xr:uid="{31DA531C-2F68-4EA8-8798-345E7DEF107C}"/>
  <tableColumns count="2">
    <tableColumn id="1" xr3:uid="{B5EBA9A6-5B37-48AC-9E75-7BEA3D29CAFF}" name="Product" dataDxfId="3"/>
    <tableColumn id="2" xr3:uid="{50CC9188-18D5-4D16-B641-F471F11A90E5}" name="Sales Amount" dataDxfId="2"/>
  </tableColumns>
  <tableStyleInfo name="TableStyleLight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D5E6037-A484-4B2F-8762-30EF6144230C}" name="Table10" displayName="Table10" ref="A1:C21" totalsRowShown="0" headerRowDxfId="17" dataDxfId="16">
  <autoFilter ref="A1:C21" xr:uid="{9D5E6037-A484-4B2F-8762-30EF6144230C}"/>
  <tableColumns count="3">
    <tableColumn id="1" xr3:uid="{1A3C3E47-80D1-49BA-93A1-0C8F377FC94F}" name="Roll No" dataDxfId="15"/>
    <tableColumn id="2" xr3:uid="{DD3184D7-7418-49E7-A4FE-B61105EA1E96}" name="Name" dataDxfId="14"/>
    <tableColumn id="3" xr3:uid="{1CF47E1A-A4A5-4939-A952-69AD68D0D06A}" name="Marks" dataDxfId="13"/>
  </tableColumns>
  <tableStyleInfo name="TableStyleLight1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83A5DF6-AE64-4C49-A7D0-4441CB6B853A}" name="Table11" displayName="Table11" ref="A1:B21" totalsRowShown="0" headerRowDxfId="88" dataDxfId="87">
  <autoFilter ref="A1:B21" xr:uid="{283A5DF6-AE64-4C49-A7D0-4441CB6B853A}"/>
  <tableColumns count="2">
    <tableColumn id="1" xr3:uid="{94411CEA-33BC-408A-A778-89D1189E2BFA}" name="Employee Name" dataDxfId="1"/>
    <tableColumn id="2" xr3:uid="{7602465A-0ACC-4715-BAB6-92E5F4849D46}" name="Salary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7EB72-D9FE-4B11-B833-A60C3345ED9D}">
  <dimension ref="A1:E21"/>
  <sheetViews>
    <sheetView workbookViewId="0">
      <selection activeCell="G8" sqref="G8"/>
    </sheetView>
  </sheetViews>
  <sheetFormatPr defaultRowHeight="14.4" x14ac:dyDescent="0.3"/>
  <cols>
    <col min="1" max="1" width="17.109375" bestFit="1" customWidth="1"/>
    <col min="2" max="2" width="19" customWidth="1"/>
    <col min="3" max="3" width="16.77734375" bestFit="1" customWidth="1"/>
    <col min="4" max="4" width="16.21875" style="2" customWidth="1"/>
    <col min="5" max="5" width="20.5546875" style="1" customWidth="1"/>
  </cols>
  <sheetData>
    <row r="1" spans="1:5" s="4" customFormat="1" ht="28.8" customHeight="1" x14ac:dyDescent="0.3">
      <c r="A1" s="63" t="s">
        <v>1</v>
      </c>
      <c r="B1" s="64" t="s">
        <v>0</v>
      </c>
      <c r="C1" s="64" t="s">
        <v>2</v>
      </c>
      <c r="D1" s="66" t="s">
        <v>3</v>
      </c>
      <c r="E1" s="65" t="s">
        <v>4</v>
      </c>
    </row>
    <row r="2" spans="1:5" x14ac:dyDescent="0.3">
      <c r="A2" s="43" t="s">
        <v>5</v>
      </c>
      <c r="B2" s="67" t="s">
        <v>15</v>
      </c>
      <c r="C2" s="67" t="s">
        <v>25</v>
      </c>
      <c r="D2" s="68">
        <v>32000</v>
      </c>
      <c r="E2" s="69">
        <v>44573</v>
      </c>
    </row>
    <row r="3" spans="1:5" x14ac:dyDescent="0.3">
      <c r="A3" s="43" t="s">
        <v>6</v>
      </c>
      <c r="B3" s="67" t="s">
        <v>16</v>
      </c>
      <c r="C3" s="67" t="s">
        <v>26</v>
      </c>
      <c r="D3" s="68">
        <v>45000</v>
      </c>
      <c r="E3" s="69">
        <v>44260</v>
      </c>
    </row>
    <row r="4" spans="1:5" x14ac:dyDescent="0.3">
      <c r="A4" s="43" t="s">
        <v>7</v>
      </c>
      <c r="B4" s="67" t="s">
        <v>17</v>
      </c>
      <c r="C4" s="67" t="s">
        <v>26</v>
      </c>
      <c r="D4" s="68">
        <v>58000</v>
      </c>
      <c r="E4" s="69">
        <v>45773</v>
      </c>
    </row>
    <row r="5" spans="1:5" x14ac:dyDescent="0.3">
      <c r="A5" s="43" t="s">
        <v>8</v>
      </c>
      <c r="B5" s="67" t="s">
        <v>18</v>
      </c>
      <c r="C5" s="67" t="s">
        <v>27</v>
      </c>
      <c r="D5" s="68">
        <v>71000</v>
      </c>
      <c r="E5" s="69">
        <v>41808</v>
      </c>
    </row>
    <row r="6" spans="1:5" x14ac:dyDescent="0.3">
      <c r="A6" s="43" t="s">
        <v>9</v>
      </c>
      <c r="B6" s="67" t="s">
        <v>19</v>
      </c>
      <c r="C6" s="67" t="s">
        <v>28</v>
      </c>
      <c r="D6" s="68">
        <v>84000</v>
      </c>
      <c r="E6" s="69">
        <v>43635</v>
      </c>
    </row>
    <row r="7" spans="1:5" x14ac:dyDescent="0.3">
      <c r="A7" s="43" t="s">
        <v>10</v>
      </c>
      <c r="B7" s="67" t="s">
        <v>20</v>
      </c>
      <c r="C7" s="67" t="s">
        <v>25</v>
      </c>
      <c r="D7" s="68">
        <v>97000</v>
      </c>
      <c r="E7" s="69">
        <v>45097</v>
      </c>
    </row>
    <row r="8" spans="1:5" x14ac:dyDescent="0.3">
      <c r="A8" s="43" t="s">
        <v>11</v>
      </c>
      <c r="B8" s="67" t="s">
        <v>21</v>
      </c>
      <c r="C8" s="67" t="s">
        <v>28</v>
      </c>
      <c r="D8" s="68">
        <v>25999</v>
      </c>
      <c r="E8" s="69">
        <v>42542</v>
      </c>
    </row>
    <row r="9" spans="1:5" x14ac:dyDescent="0.3">
      <c r="A9" s="43" t="s">
        <v>12</v>
      </c>
      <c r="B9" s="67" t="s">
        <v>22</v>
      </c>
      <c r="C9" s="67" t="s">
        <v>25</v>
      </c>
      <c r="D9" s="68">
        <v>32870</v>
      </c>
      <c r="E9" s="69">
        <v>40716</v>
      </c>
    </row>
    <row r="10" spans="1:5" x14ac:dyDescent="0.3">
      <c r="A10" s="43" t="s">
        <v>13</v>
      </c>
      <c r="B10" s="67" t="s">
        <v>23</v>
      </c>
      <c r="C10" s="67" t="s">
        <v>27</v>
      </c>
      <c r="D10" s="68">
        <v>12540</v>
      </c>
      <c r="E10" s="69">
        <v>46196</v>
      </c>
    </row>
    <row r="11" spans="1:5" x14ac:dyDescent="0.3">
      <c r="A11" s="43" t="s">
        <v>14</v>
      </c>
      <c r="B11" s="67" t="s">
        <v>24</v>
      </c>
      <c r="C11" s="67" t="s">
        <v>25</v>
      </c>
      <c r="D11" s="68">
        <v>77450</v>
      </c>
      <c r="E11" s="69">
        <v>44736</v>
      </c>
    </row>
    <row r="12" spans="1:5" x14ac:dyDescent="0.3">
      <c r="A12" s="43" t="s">
        <v>29</v>
      </c>
      <c r="B12" s="67" t="s">
        <v>39</v>
      </c>
      <c r="C12" s="67" t="s">
        <v>26</v>
      </c>
      <c r="D12" s="68">
        <v>90000</v>
      </c>
      <c r="E12" s="69">
        <v>40308</v>
      </c>
    </row>
    <row r="13" spans="1:5" x14ac:dyDescent="0.3">
      <c r="A13" s="43" t="s">
        <v>30</v>
      </c>
      <c r="B13" s="67" t="s">
        <v>40</v>
      </c>
      <c r="C13" s="67" t="s">
        <v>28</v>
      </c>
      <c r="D13" s="68">
        <v>10000</v>
      </c>
      <c r="E13" s="69">
        <v>40308</v>
      </c>
    </row>
    <row r="14" spans="1:5" x14ac:dyDescent="0.3">
      <c r="A14" s="43" t="s">
        <v>31</v>
      </c>
      <c r="B14" s="67" t="s">
        <v>41</v>
      </c>
      <c r="C14" s="67" t="s">
        <v>25</v>
      </c>
      <c r="D14" s="68">
        <v>10000</v>
      </c>
      <c r="E14" s="69">
        <v>40308</v>
      </c>
    </row>
    <row r="15" spans="1:5" x14ac:dyDescent="0.3">
      <c r="A15" s="43" t="s">
        <v>32</v>
      </c>
      <c r="B15" s="67" t="s">
        <v>42</v>
      </c>
      <c r="C15" s="67" t="s">
        <v>27</v>
      </c>
      <c r="D15" s="68">
        <v>90000</v>
      </c>
      <c r="E15" s="69">
        <v>46131</v>
      </c>
    </row>
    <row r="16" spans="1:5" x14ac:dyDescent="0.3">
      <c r="A16" s="43" t="s">
        <v>33</v>
      </c>
      <c r="B16" s="67" t="s">
        <v>43</v>
      </c>
      <c r="C16" s="67" t="s">
        <v>26</v>
      </c>
      <c r="D16" s="68">
        <v>10000</v>
      </c>
      <c r="E16" s="69">
        <v>40308</v>
      </c>
    </row>
    <row r="17" spans="1:5" x14ac:dyDescent="0.3">
      <c r="A17" s="43" t="s">
        <v>34</v>
      </c>
      <c r="B17" s="67" t="s">
        <v>19</v>
      </c>
      <c r="C17" s="67" t="s">
        <v>26</v>
      </c>
      <c r="D17" s="68">
        <v>10000</v>
      </c>
      <c r="E17" s="69">
        <v>40308</v>
      </c>
    </row>
    <row r="18" spans="1:5" x14ac:dyDescent="0.3">
      <c r="A18" s="43" t="s">
        <v>35</v>
      </c>
      <c r="B18" s="67" t="s">
        <v>44</v>
      </c>
      <c r="C18" s="67" t="s">
        <v>27</v>
      </c>
      <c r="D18" s="68">
        <v>10000</v>
      </c>
      <c r="E18" s="69">
        <v>46131</v>
      </c>
    </row>
    <row r="19" spans="1:5" x14ac:dyDescent="0.3">
      <c r="A19" s="43" t="s">
        <v>36</v>
      </c>
      <c r="B19" s="67" t="s">
        <v>45</v>
      </c>
      <c r="C19" s="67" t="s">
        <v>28</v>
      </c>
      <c r="D19" s="68">
        <v>90000</v>
      </c>
      <c r="E19" s="69">
        <v>46131</v>
      </c>
    </row>
    <row r="20" spans="1:5" x14ac:dyDescent="0.3">
      <c r="A20" s="43" t="s">
        <v>37</v>
      </c>
      <c r="B20" s="67" t="s">
        <v>46</v>
      </c>
      <c r="C20" s="67" t="s">
        <v>27</v>
      </c>
      <c r="D20" s="68">
        <v>10000</v>
      </c>
      <c r="E20" s="69">
        <v>46131</v>
      </c>
    </row>
    <row r="21" spans="1:5" x14ac:dyDescent="0.3">
      <c r="A21" s="70" t="s">
        <v>38</v>
      </c>
      <c r="B21" s="71" t="s">
        <v>47</v>
      </c>
      <c r="C21" s="71" t="s">
        <v>25</v>
      </c>
      <c r="D21" s="72">
        <v>10000</v>
      </c>
      <c r="E21" s="73">
        <v>40308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241B1-5CD3-45CC-A91C-ABDBB58570A4}">
  <dimension ref="A1:D22"/>
  <sheetViews>
    <sheetView workbookViewId="0">
      <selection activeCell="G15" sqref="G15"/>
    </sheetView>
  </sheetViews>
  <sheetFormatPr defaultRowHeight="14.4" x14ac:dyDescent="0.3"/>
  <cols>
    <col min="1" max="1" width="27.44140625" customWidth="1"/>
    <col min="2" max="2" width="15.44140625" customWidth="1"/>
    <col min="3" max="3" width="17" customWidth="1"/>
    <col min="4" max="4" width="17.6640625" customWidth="1"/>
  </cols>
  <sheetData>
    <row r="1" spans="1:4" ht="18" x14ac:dyDescent="0.3">
      <c r="A1" s="78" t="s">
        <v>52</v>
      </c>
      <c r="B1" s="78"/>
      <c r="C1" s="78"/>
      <c r="D1" s="78"/>
    </row>
    <row r="2" spans="1:4" ht="23.4" customHeight="1" x14ac:dyDescent="0.3">
      <c r="A2" s="59" t="s">
        <v>48</v>
      </c>
      <c r="B2" s="60" t="s">
        <v>49</v>
      </c>
      <c r="C2" s="61" t="s">
        <v>50</v>
      </c>
      <c r="D2" s="62" t="s">
        <v>51</v>
      </c>
    </row>
    <row r="3" spans="1:4" x14ac:dyDescent="0.3">
      <c r="A3" s="51" t="s">
        <v>65</v>
      </c>
      <c r="B3" s="52" t="s">
        <v>53</v>
      </c>
      <c r="C3" s="53">
        <v>40000</v>
      </c>
      <c r="D3" s="54" t="s">
        <v>64</v>
      </c>
    </row>
    <row r="4" spans="1:4" x14ac:dyDescent="0.3">
      <c r="A4" s="51" t="s">
        <v>66</v>
      </c>
      <c r="B4" s="52" t="s">
        <v>54</v>
      </c>
      <c r="C4" s="53">
        <v>80000</v>
      </c>
      <c r="D4" s="54" t="s">
        <v>61</v>
      </c>
    </row>
    <row r="5" spans="1:4" x14ac:dyDescent="0.3">
      <c r="A5" s="51" t="s">
        <v>67</v>
      </c>
      <c r="B5" s="52" t="s">
        <v>56</v>
      </c>
      <c r="C5" s="53">
        <v>80000</v>
      </c>
      <c r="D5" s="54" t="s">
        <v>62</v>
      </c>
    </row>
    <row r="6" spans="1:4" x14ac:dyDescent="0.3">
      <c r="A6" s="51" t="s">
        <v>68</v>
      </c>
      <c r="B6" s="52" t="s">
        <v>53</v>
      </c>
      <c r="C6" s="53">
        <v>30000</v>
      </c>
      <c r="D6" s="54" t="s">
        <v>61</v>
      </c>
    </row>
    <row r="7" spans="1:4" x14ac:dyDescent="0.3">
      <c r="A7" s="51" t="s">
        <v>69</v>
      </c>
      <c r="B7" s="52" t="s">
        <v>56</v>
      </c>
      <c r="C7" s="53">
        <v>80000</v>
      </c>
      <c r="D7" s="54" t="s">
        <v>57</v>
      </c>
    </row>
    <row r="8" spans="1:4" x14ac:dyDescent="0.3">
      <c r="A8" s="51" t="s">
        <v>70</v>
      </c>
      <c r="B8" s="52" t="s">
        <v>56</v>
      </c>
      <c r="C8" s="53">
        <v>40000</v>
      </c>
      <c r="D8" s="54" t="s">
        <v>61</v>
      </c>
    </row>
    <row r="9" spans="1:4" x14ac:dyDescent="0.3">
      <c r="A9" s="51" t="s">
        <v>71</v>
      </c>
      <c r="B9" s="52" t="s">
        <v>53</v>
      </c>
      <c r="C9" s="53">
        <v>30000</v>
      </c>
      <c r="D9" s="54" t="s">
        <v>57</v>
      </c>
    </row>
    <row r="10" spans="1:4" x14ac:dyDescent="0.3">
      <c r="A10" s="51" t="s">
        <v>73</v>
      </c>
      <c r="B10" s="52" t="s">
        <v>72</v>
      </c>
      <c r="C10" s="53">
        <v>25000</v>
      </c>
      <c r="D10" s="54" t="s">
        <v>61</v>
      </c>
    </row>
    <row r="11" spans="1:4" x14ac:dyDescent="0.3">
      <c r="A11" s="51" t="s">
        <v>74</v>
      </c>
      <c r="B11" s="52" t="s">
        <v>54</v>
      </c>
      <c r="C11" s="53">
        <v>10000</v>
      </c>
      <c r="D11" s="54" t="s">
        <v>62</v>
      </c>
    </row>
    <row r="12" spans="1:4" x14ac:dyDescent="0.3">
      <c r="A12" s="51" t="s">
        <v>75</v>
      </c>
      <c r="B12" s="52" t="s">
        <v>56</v>
      </c>
      <c r="C12" s="53">
        <v>42999</v>
      </c>
      <c r="D12" s="54" t="s">
        <v>61</v>
      </c>
    </row>
    <row r="13" spans="1:4" x14ac:dyDescent="0.3">
      <c r="A13" s="51" t="s">
        <v>76</v>
      </c>
      <c r="B13" s="52" t="s">
        <v>54</v>
      </c>
      <c r="C13" s="53">
        <v>80000</v>
      </c>
      <c r="D13" s="54" t="s">
        <v>59</v>
      </c>
    </row>
    <row r="14" spans="1:4" x14ac:dyDescent="0.3">
      <c r="A14" s="51" t="s">
        <v>70</v>
      </c>
      <c r="B14" s="52" t="s">
        <v>54</v>
      </c>
      <c r="C14" s="53">
        <v>80000</v>
      </c>
      <c r="D14" s="54" t="s">
        <v>61</v>
      </c>
    </row>
    <row r="15" spans="1:4" x14ac:dyDescent="0.3">
      <c r="A15" s="51" t="s">
        <v>74</v>
      </c>
      <c r="B15" s="52" t="s">
        <v>53</v>
      </c>
      <c r="C15" s="53">
        <v>80000</v>
      </c>
      <c r="D15" s="54" t="s">
        <v>58</v>
      </c>
    </row>
    <row r="16" spans="1:4" x14ac:dyDescent="0.3">
      <c r="A16" s="51" t="s">
        <v>73</v>
      </c>
      <c r="B16" s="52" t="s">
        <v>55</v>
      </c>
      <c r="C16" s="53">
        <v>80000</v>
      </c>
      <c r="D16" s="54" t="s">
        <v>63</v>
      </c>
    </row>
    <row r="17" spans="1:4" x14ac:dyDescent="0.3">
      <c r="A17" s="51" t="s">
        <v>76</v>
      </c>
      <c r="B17" s="52" t="s">
        <v>56</v>
      </c>
      <c r="C17" s="53">
        <v>30000</v>
      </c>
      <c r="D17" s="54" t="s">
        <v>59</v>
      </c>
    </row>
    <row r="18" spans="1:4" x14ac:dyDescent="0.3">
      <c r="A18" s="51" t="s">
        <v>70</v>
      </c>
      <c r="B18" s="52" t="s">
        <v>53</v>
      </c>
      <c r="C18" s="53">
        <v>80000</v>
      </c>
      <c r="D18" s="54" t="s">
        <v>58</v>
      </c>
    </row>
    <row r="19" spans="1:4" x14ac:dyDescent="0.3">
      <c r="A19" s="51" t="s">
        <v>74</v>
      </c>
      <c r="B19" s="52" t="s">
        <v>55</v>
      </c>
      <c r="C19" s="53">
        <v>12000</v>
      </c>
      <c r="D19" s="54" t="s">
        <v>57</v>
      </c>
    </row>
    <row r="20" spans="1:4" x14ac:dyDescent="0.3">
      <c r="A20" s="51" t="s">
        <v>73</v>
      </c>
      <c r="B20" s="52" t="s">
        <v>55</v>
      </c>
      <c r="C20" s="53">
        <v>30000</v>
      </c>
      <c r="D20" s="54" t="s">
        <v>61</v>
      </c>
    </row>
    <row r="21" spans="1:4" x14ac:dyDescent="0.3">
      <c r="A21" s="51" t="s">
        <v>74</v>
      </c>
      <c r="B21" s="52" t="s">
        <v>53</v>
      </c>
      <c r="C21" s="53">
        <v>11000</v>
      </c>
      <c r="D21" s="54" t="s">
        <v>57</v>
      </c>
    </row>
    <row r="22" spans="1:4" x14ac:dyDescent="0.3">
      <c r="A22" s="55" t="s">
        <v>76</v>
      </c>
      <c r="B22" s="56" t="s">
        <v>53</v>
      </c>
      <c r="C22" s="57">
        <v>76000</v>
      </c>
      <c r="D22" s="58" t="s">
        <v>60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1505B-10BB-4B2E-A9A9-6D38E604416A}">
  <dimension ref="A1:F21"/>
  <sheetViews>
    <sheetView workbookViewId="0">
      <selection activeCell="I7" sqref="I7"/>
    </sheetView>
  </sheetViews>
  <sheetFormatPr defaultRowHeight="14.4" x14ac:dyDescent="0.3"/>
  <cols>
    <col min="1" max="1" width="10.88671875" style="5" bestFit="1" customWidth="1"/>
    <col min="2" max="2" width="18.5546875" bestFit="1" customWidth="1"/>
    <col min="3" max="3" width="9.88671875" bestFit="1" customWidth="1"/>
    <col min="4" max="4" width="11.33203125" bestFit="1" customWidth="1"/>
    <col min="5" max="5" width="10.6640625" bestFit="1" customWidth="1"/>
    <col min="6" max="6" width="15.33203125" bestFit="1" customWidth="1"/>
  </cols>
  <sheetData>
    <row r="1" spans="1:6" s="3" customFormat="1" ht="27" customHeight="1" x14ac:dyDescent="0.3">
      <c r="A1" s="48" t="s">
        <v>77</v>
      </c>
      <c r="B1" s="49" t="s">
        <v>78</v>
      </c>
      <c r="C1" s="48" t="s">
        <v>79</v>
      </c>
      <c r="D1" s="48" t="s">
        <v>80</v>
      </c>
      <c r="E1" s="48" t="s">
        <v>81</v>
      </c>
      <c r="F1" s="50" t="s">
        <v>82</v>
      </c>
    </row>
    <row r="2" spans="1:6" x14ac:dyDescent="0.3">
      <c r="A2" s="46">
        <v>1</v>
      </c>
      <c r="B2" s="46" t="s">
        <v>83</v>
      </c>
      <c r="C2" s="46">
        <v>78</v>
      </c>
      <c r="D2" s="46">
        <v>82</v>
      </c>
      <c r="E2" s="46">
        <v>74</v>
      </c>
      <c r="F2" s="47">
        <v>0.78</v>
      </c>
    </row>
    <row r="3" spans="1:6" x14ac:dyDescent="0.3">
      <c r="A3" s="46">
        <v>2</v>
      </c>
      <c r="B3" s="46" t="s">
        <v>84</v>
      </c>
      <c r="C3" s="46">
        <v>65</v>
      </c>
      <c r="D3" s="46">
        <v>70</v>
      </c>
      <c r="E3" s="46">
        <v>68</v>
      </c>
      <c r="F3" s="47">
        <v>0.67666666666666675</v>
      </c>
    </row>
    <row r="4" spans="1:6" x14ac:dyDescent="0.3">
      <c r="A4" s="46">
        <v>3</v>
      </c>
      <c r="B4" s="46" t="s">
        <v>85</v>
      </c>
      <c r="C4" s="46">
        <v>90</v>
      </c>
      <c r="D4" s="46">
        <v>88</v>
      </c>
      <c r="E4" s="46">
        <v>92</v>
      </c>
      <c r="F4" s="47">
        <v>0.9</v>
      </c>
    </row>
    <row r="5" spans="1:6" x14ac:dyDescent="0.3">
      <c r="A5" s="46">
        <v>4</v>
      </c>
      <c r="B5" s="46" t="s">
        <v>86</v>
      </c>
      <c r="C5" s="46">
        <v>35</v>
      </c>
      <c r="D5" s="46">
        <v>40</v>
      </c>
      <c r="E5" s="46">
        <v>38</v>
      </c>
      <c r="F5" s="47">
        <v>0.37666666666666665</v>
      </c>
    </row>
    <row r="6" spans="1:6" x14ac:dyDescent="0.3">
      <c r="A6" s="46">
        <v>5</v>
      </c>
      <c r="B6" s="46" t="s">
        <v>87</v>
      </c>
      <c r="C6" s="46">
        <v>55</v>
      </c>
      <c r="D6" s="46">
        <v>60</v>
      </c>
      <c r="E6" s="46">
        <v>58</v>
      </c>
      <c r="F6" s="47">
        <v>0.57666666666666666</v>
      </c>
    </row>
    <row r="7" spans="1:6" x14ac:dyDescent="0.3">
      <c r="A7" s="46">
        <v>6</v>
      </c>
      <c r="B7" s="46" t="s">
        <v>88</v>
      </c>
      <c r="C7" s="46">
        <v>72</v>
      </c>
      <c r="D7" s="46">
        <v>76</v>
      </c>
      <c r="E7" s="46">
        <v>70</v>
      </c>
      <c r="F7" s="47">
        <v>0.72666666666666668</v>
      </c>
    </row>
    <row r="8" spans="1:6" x14ac:dyDescent="0.3">
      <c r="A8" s="46">
        <v>7</v>
      </c>
      <c r="B8" s="46" t="s">
        <v>89</v>
      </c>
      <c r="C8" s="46">
        <v>84</v>
      </c>
      <c r="D8" s="46">
        <v>80</v>
      </c>
      <c r="E8" s="46">
        <v>86</v>
      </c>
      <c r="F8" s="47">
        <v>0.83333333333333326</v>
      </c>
    </row>
    <row r="9" spans="1:6" x14ac:dyDescent="0.3">
      <c r="A9" s="46">
        <v>8</v>
      </c>
      <c r="B9" s="46" t="s">
        <v>90</v>
      </c>
      <c r="C9" s="46">
        <v>60</v>
      </c>
      <c r="D9" s="46">
        <v>65</v>
      </c>
      <c r="E9" s="46">
        <v>62</v>
      </c>
      <c r="F9" s="47">
        <v>0.62333333333333341</v>
      </c>
    </row>
    <row r="10" spans="1:6" x14ac:dyDescent="0.3">
      <c r="A10" s="46">
        <v>9</v>
      </c>
      <c r="B10" s="46" t="s">
        <v>91</v>
      </c>
      <c r="C10" s="46">
        <v>95</v>
      </c>
      <c r="D10" s="46">
        <v>92</v>
      </c>
      <c r="E10" s="46">
        <v>94</v>
      </c>
      <c r="F10" s="47">
        <v>0.93666666666666676</v>
      </c>
    </row>
    <row r="11" spans="1:6" x14ac:dyDescent="0.3">
      <c r="A11" s="46">
        <v>10</v>
      </c>
      <c r="B11" s="46" t="s">
        <v>92</v>
      </c>
      <c r="C11" s="46">
        <v>50</v>
      </c>
      <c r="D11" s="46">
        <v>55</v>
      </c>
      <c r="E11" s="46">
        <v>52</v>
      </c>
      <c r="F11" s="47">
        <v>0.52333333333333332</v>
      </c>
    </row>
    <row r="12" spans="1:6" x14ac:dyDescent="0.3">
      <c r="A12" s="46">
        <v>11</v>
      </c>
      <c r="B12" s="46" t="s">
        <v>93</v>
      </c>
      <c r="C12" s="46">
        <v>68</v>
      </c>
      <c r="D12" s="46">
        <v>72</v>
      </c>
      <c r="E12" s="46">
        <v>70</v>
      </c>
      <c r="F12" s="47">
        <v>0.7</v>
      </c>
    </row>
    <row r="13" spans="1:6" x14ac:dyDescent="0.3">
      <c r="A13" s="46">
        <v>12</v>
      </c>
      <c r="B13" s="46" t="s">
        <v>94</v>
      </c>
      <c r="C13" s="46">
        <v>88</v>
      </c>
      <c r="D13" s="46">
        <v>85</v>
      </c>
      <c r="E13" s="46">
        <v>90</v>
      </c>
      <c r="F13" s="47">
        <v>0.87666666666666671</v>
      </c>
    </row>
    <row r="14" spans="1:6" x14ac:dyDescent="0.3">
      <c r="A14" s="46">
        <v>13</v>
      </c>
      <c r="B14" s="46" t="s">
        <v>95</v>
      </c>
      <c r="C14" s="46">
        <v>40</v>
      </c>
      <c r="D14" s="46">
        <v>45</v>
      </c>
      <c r="E14" s="46">
        <v>42</v>
      </c>
      <c r="F14" s="47">
        <v>0.42333333333333334</v>
      </c>
    </row>
    <row r="15" spans="1:6" x14ac:dyDescent="0.3">
      <c r="A15" s="46">
        <v>14</v>
      </c>
      <c r="B15" s="46" t="s">
        <v>96</v>
      </c>
      <c r="C15" s="46">
        <v>77</v>
      </c>
      <c r="D15" s="46">
        <v>74</v>
      </c>
      <c r="E15" s="46">
        <v>79</v>
      </c>
      <c r="F15" s="47">
        <v>0.76666666666666672</v>
      </c>
    </row>
    <row r="16" spans="1:6" x14ac:dyDescent="0.3">
      <c r="A16" s="46">
        <v>15</v>
      </c>
      <c r="B16" s="46" t="s">
        <v>97</v>
      </c>
      <c r="C16" s="46">
        <v>63</v>
      </c>
      <c r="D16" s="46">
        <v>67</v>
      </c>
      <c r="E16" s="46">
        <v>65</v>
      </c>
      <c r="F16" s="47">
        <v>0.65</v>
      </c>
    </row>
    <row r="17" spans="1:6" x14ac:dyDescent="0.3">
      <c r="A17" s="46">
        <v>16</v>
      </c>
      <c r="B17" s="46" t="s">
        <v>98</v>
      </c>
      <c r="C17" s="46">
        <v>82</v>
      </c>
      <c r="D17" s="46">
        <v>80</v>
      </c>
      <c r="E17" s="46">
        <v>84</v>
      </c>
      <c r="F17" s="47">
        <v>0.82</v>
      </c>
    </row>
    <row r="18" spans="1:6" x14ac:dyDescent="0.3">
      <c r="A18" s="46">
        <v>17</v>
      </c>
      <c r="B18" s="46" t="s">
        <v>61</v>
      </c>
      <c r="C18" s="46">
        <v>91</v>
      </c>
      <c r="D18" s="46">
        <v>89</v>
      </c>
      <c r="E18" s="46">
        <v>93</v>
      </c>
      <c r="F18" s="47">
        <v>0.91</v>
      </c>
    </row>
    <row r="19" spans="1:6" x14ac:dyDescent="0.3">
      <c r="A19" s="46">
        <v>18</v>
      </c>
      <c r="B19" s="46" t="s">
        <v>99</v>
      </c>
      <c r="C19" s="46">
        <v>58</v>
      </c>
      <c r="D19" s="46">
        <v>62</v>
      </c>
      <c r="E19" s="46">
        <v>60</v>
      </c>
      <c r="F19" s="47">
        <v>0.6</v>
      </c>
    </row>
    <row r="20" spans="1:6" x14ac:dyDescent="0.3">
      <c r="A20" s="46">
        <v>19</v>
      </c>
      <c r="B20" s="46" t="s">
        <v>100</v>
      </c>
      <c r="C20" s="46">
        <v>46</v>
      </c>
      <c r="D20" s="46">
        <v>50</v>
      </c>
      <c r="E20" s="46">
        <v>48</v>
      </c>
      <c r="F20" s="47">
        <v>0.48</v>
      </c>
    </row>
    <row r="21" spans="1:6" x14ac:dyDescent="0.3">
      <c r="A21" s="46">
        <v>20</v>
      </c>
      <c r="B21" s="46" t="s">
        <v>101</v>
      </c>
      <c r="C21" s="46">
        <v>70</v>
      </c>
      <c r="D21" s="46">
        <v>75</v>
      </c>
      <c r="E21" s="46">
        <v>72</v>
      </c>
      <c r="F21" s="47">
        <v>0.72333333333333327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8FF58-03EF-497A-96B9-7F2A09384BA9}">
  <dimension ref="A1:C25"/>
  <sheetViews>
    <sheetView workbookViewId="0">
      <selection activeCell="F11" sqref="F11"/>
    </sheetView>
  </sheetViews>
  <sheetFormatPr defaultRowHeight="14.4" x14ac:dyDescent="0.3"/>
  <cols>
    <col min="1" max="1" width="13.33203125" customWidth="1"/>
    <col min="2" max="2" width="19.44140625" customWidth="1"/>
    <col min="3" max="3" width="21.33203125" customWidth="1"/>
  </cols>
  <sheetData>
    <row r="1" spans="1:3" ht="27.6" customHeight="1" x14ac:dyDescent="0.3">
      <c r="A1" s="40" t="s">
        <v>102</v>
      </c>
      <c r="B1" s="41" t="s">
        <v>103</v>
      </c>
      <c r="C1" s="42" t="s">
        <v>50</v>
      </c>
    </row>
    <row r="2" spans="1:3" x14ac:dyDescent="0.3">
      <c r="A2" s="43" t="s">
        <v>104</v>
      </c>
      <c r="B2" s="44">
        <v>45292</v>
      </c>
      <c r="C2" s="45">
        <v>12000</v>
      </c>
    </row>
    <row r="3" spans="1:3" x14ac:dyDescent="0.3">
      <c r="A3" s="43" t="s">
        <v>105</v>
      </c>
      <c r="B3" s="44">
        <v>45294</v>
      </c>
      <c r="C3" s="45">
        <v>25000</v>
      </c>
    </row>
    <row r="4" spans="1:3" x14ac:dyDescent="0.3">
      <c r="A4" s="43" t="s">
        <v>106</v>
      </c>
      <c r="B4" s="44">
        <v>45296</v>
      </c>
      <c r="C4" s="45">
        <v>8000</v>
      </c>
    </row>
    <row r="5" spans="1:3" x14ac:dyDescent="0.3">
      <c r="A5" s="43" t="s">
        <v>107</v>
      </c>
      <c r="B5" s="44">
        <v>45299</v>
      </c>
      <c r="C5" s="45">
        <v>32000</v>
      </c>
    </row>
    <row r="6" spans="1:3" x14ac:dyDescent="0.3">
      <c r="A6" s="43" t="s">
        <v>108</v>
      </c>
      <c r="B6" s="44">
        <v>45301</v>
      </c>
      <c r="C6" s="45">
        <v>15000</v>
      </c>
    </row>
    <row r="7" spans="1:3" x14ac:dyDescent="0.3">
      <c r="A7" s="43" t="s">
        <v>109</v>
      </c>
      <c r="B7" s="44">
        <v>45303</v>
      </c>
      <c r="C7" s="45">
        <v>18000</v>
      </c>
    </row>
    <row r="8" spans="1:3" x14ac:dyDescent="0.3">
      <c r="A8" s="43" t="s">
        <v>110</v>
      </c>
      <c r="B8" s="44">
        <v>45305</v>
      </c>
      <c r="C8" s="45">
        <v>22000</v>
      </c>
    </row>
    <row r="9" spans="1:3" x14ac:dyDescent="0.3">
      <c r="A9" s="43" t="s">
        <v>111</v>
      </c>
      <c r="B9" s="44">
        <v>45307</v>
      </c>
      <c r="C9" s="45">
        <v>27000</v>
      </c>
    </row>
    <row r="10" spans="1:3" x14ac:dyDescent="0.3">
      <c r="A10" s="43" t="s">
        <v>112</v>
      </c>
      <c r="B10" s="44">
        <v>45309</v>
      </c>
      <c r="C10" s="45">
        <v>9500</v>
      </c>
    </row>
    <row r="11" spans="1:3" x14ac:dyDescent="0.3">
      <c r="A11" s="43" t="s">
        <v>113</v>
      </c>
      <c r="B11" s="44">
        <v>45311</v>
      </c>
      <c r="C11" s="45">
        <v>30000</v>
      </c>
    </row>
    <row r="12" spans="1:3" x14ac:dyDescent="0.3">
      <c r="A12" s="43" t="s">
        <v>114</v>
      </c>
      <c r="B12" s="44">
        <v>45313</v>
      </c>
      <c r="C12" s="45">
        <v>12500</v>
      </c>
    </row>
    <row r="13" spans="1:3" x14ac:dyDescent="0.3">
      <c r="A13" s="43" t="s">
        <v>115</v>
      </c>
      <c r="B13" s="44">
        <v>45315</v>
      </c>
      <c r="C13" s="45">
        <v>21000</v>
      </c>
    </row>
    <row r="14" spans="1:3" x14ac:dyDescent="0.3">
      <c r="A14" s="43" t="s">
        <v>116</v>
      </c>
      <c r="B14" s="44">
        <v>45317</v>
      </c>
      <c r="C14" s="45">
        <v>17500</v>
      </c>
    </row>
    <row r="15" spans="1:3" x14ac:dyDescent="0.3">
      <c r="A15" s="43" t="s">
        <v>117</v>
      </c>
      <c r="B15" s="44">
        <v>45319</v>
      </c>
      <c r="C15" s="45">
        <v>28000</v>
      </c>
    </row>
    <row r="16" spans="1:3" x14ac:dyDescent="0.3">
      <c r="A16" s="43" t="s">
        <v>118</v>
      </c>
      <c r="B16" s="44">
        <v>45321</v>
      </c>
      <c r="C16" s="45">
        <v>16000</v>
      </c>
    </row>
    <row r="17" spans="1:3" x14ac:dyDescent="0.3">
      <c r="A17" s="43" t="s">
        <v>119</v>
      </c>
      <c r="B17" s="44">
        <v>45323</v>
      </c>
      <c r="C17" s="45">
        <v>35000</v>
      </c>
    </row>
    <row r="18" spans="1:3" x14ac:dyDescent="0.3">
      <c r="A18" s="43" t="s">
        <v>120</v>
      </c>
      <c r="B18" s="44">
        <v>45325</v>
      </c>
      <c r="C18" s="45">
        <v>14000</v>
      </c>
    </row>
    <row r="19" spans="1:3" x14ac:dyDescent="0.3">
      <c r="A19" s="43" t="s">
        <v>121</v>
      </c>
      <c r="B19" s="44">
        <v>45327</v>
      </c>
      <c r="C19" s="45">
        <v>19500</v>
      </c>
    </row>
    <row r="20" spans="1:3" x14ac:dyDescent="0.3">
      <c r="A20" s="43" t="s">
        <v>122</v>
      </c>
      <c r="B20" s="44">
        <v>45329</v>
      </c>
      <c r="C20" s="45">
        <v>26000</v>
      </c>
    </row>
    <row r="21" spans="1:3" x14ac:dyDescent="0.3">
      <c r="A21" s="43" t="s">
        <v>123</v>
      </c>
      <c r="B21" s="44">
        <v>45331</v>
      </c>
      <c r="C21" s="45">
        <v>11000</v>
      </c>
    </row>
    <row r="22" spans="1:3" x14ac:dyDescent="0.3">
      <c r="A22" s="79" t="s">
        <v>125</v>
      </c>
      <c r="B22" s="80"/>
      <c r="C22" s="6">
        <v>35000</v>
      </c>
    </row>
    <row r="23" spans="1:3" x14ac:dyDescent="0.3">
      <c r="A23" s="79" t="s">
        <v>126</v>
      </c>
      <c r="B23" s="80"/>
      <c r="C23" s="6">
        <v>8000</v>
      </c>
    </row>
    <row r="24" spans="1:3" x14ac:dyDescent="0.3">
      <c r="A24" s="79" t="s">
        <v>127</v>
      </c>
      <c r="B24" s="80"/>
      <c r="C24" s="6">
        <v>19950</v>
      </c>
    </row>
    <row r="25" spans="1:3" x14ac:dyDescent="0.3">
      <c r="A25" s="79" t="s">
        <v>124</v>
      </c>
      <c r="B25" s="80"/>
      <c r="C25" s="6">
        <v>399000</v>
      </c>
    </row>
  </sheetData>
  <mergeCells count="4">
    <mergeCell ref="A22:B22"/>
    <mergeCell ref="A23:B23"/>
    <mergeCell ref="A24:B24"/>
    <mergeCell ref="A25:B25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13F70-D0F3-4753-986A-AA47117567C9}">
  <dimension ref="A1:G26"/>
  <sheetViews>
    <sheetView workbookViewId="0">
      <selection activeCell="E14" sqref="E14"/>
    </sheetView>
  </sheetViews>
  <sheetFormatPr defaultRowHeight="14.4" x14ac:dyDescent="0.3"/>
  <cols>
    <col min="1" max="1" width="19.44140625" customWidth="1"/>
    <col min="2" max="2" width="18.5546875" customWidth="1"/>
    <col min="3" max="3" width="20.88671875" style="5" customWidth="1"/>
    <col min="4" max="5" width="18.44140625" style="5" customWidth="1"/>
    <col min="6" max="6" width="17" customWidth="1"/>
    <col min="7" max="7" width="14.6640625" customWidth="1"/>
  </cols>
  <sheetData>
    <row r="1" spans="1:5" ht="21.6" customHeight="1" thickBot="1" x14ac:dyDescent="0.35">
      <c r="A1" s="14" t="s">
        <v>128</v>
      </c>
      <c r="B1" s="15" t="s">
        <v>2</v>
      </c>
      <c r="C1" s="16" t="s">
        <v>3</v>
      </c>
      <c r="D1" s="11"/>
      <c r="E1" s="11"/>
    </row>
    <row r="2" spans="1:5" ht="15.6" thickTop="1" thickBot="1" x14ac:dyDescent="0.35">
      <c r="A2" s="17" t="s">
        <v>129</v>
      </c>
      <c r="B2" s="18" t="s">
        <v>25</v>
      </c>
      <c r="C2" s="19">
        <v>28000</v>
      </c>
      <c r="D2" s="8"/>
      <c r="E2" s="8"/>
    </row>
    <row r="3" spans="1:5" ht="15.6" thickTop="1" thickBot="1" x14ac:dyDescent="0.35">
      <c r="A3" s="17" t="s">
        <v>130</v>
      </c>
      <c r="B3" s="18" t="s">
        <v>26</v>
      </c>
      <c r="C3" s="19">
        <v>45000</v>
      </c>
      <c r="D3" s="8"/>
      <c r="E3" s="8"/>
    </row>
    <row r="4" spans="1:5" ht="15.6" thickTop="1" thickBot="1" x14ac:dyDescent="0.35">
      <c r="A4" s="17" t="s">
        <v>131</v>
      </c>
      <c r="B4" s="18" t="s">
        <v>26</v>
      </c>
      <c r="C4" s="19">
        <v>50000</v>
      </c>
      <c r="D4" s="8"/>
      <c r="E4" s="8"/>
    </row>
    <row r="5" spans="1:5" ht="15.6" thickTop="1" thickBot="1" x14ac:dyDescent="0.35">
      <c r="A5" s="17" t="s">
        <v>132</v>
      </c>
      <c r="B5" s="18" t="s">
        <v>27</v>
      </c>
      <c r="C5" s="19">
        <v>42000</v>
      </c>
      <c r="D5" s="8"/>
      <c r="E5" s="8"/>
    </row>
    <row r="6" spans="1:5" ht="15.6" thickTop="1" thickBot="1" x14ac:dyDescent="0.35">
      <c r="A6" s="17" t="s">
        <v>133</v>
      </c>
      <c r="B6" s="18" t="s">
        <v>25</v>
      </c>
      <c r="C6" s="19">
        <v>30000</v>
      </c>
      <c r="D6" s="8"/>
      <c r="E6" s="8"/>
    </row>
    <row r="7" spans="1:5" ht="15.6" thickTop="1" thickBot="1" x14ac:dyDescent="0.35">
      <c r="A7" s="17" t="s">
        <v>96</v>
      </c>
      <c r="B7" s="18" t="s">
        <v>27</v>
      </c>
      <c r="C7" s="19">
        <v>38000</v>
      </c>
      <c r="D7" s="8"/>
      <c r="E7" s="8"/>
    </row>
    <row r="8" spans="1:5" ht="15.6" thickTop="1" thickBot="1" x14ac:dyDescent="0.35">
      <c r="A8" s="17" t="s">
        <v>98</v>
      </c>
      <c r="B8" s="18" t="s">
        <v>26</v>
      </c>
      <c r="C8" s="19">
        <v>47000</v>
      </c>
      <c r="D8" s="8"/>
      <c r="E8" s="8"/>
    </row>
    <row r="9" spans="1:5" ht="15.6" thickTop="1" thickBot="1" x14ac:dyDescent="0.35">
      <c r="A9" s="17" t="s">
        <v>134</v>
      </c>
      <c r="B9" s="18" t="s">
        <v>27</v>
      </c>
      <c r="C9" s="19">
        <v>36000</v>
      </c>
      <c r="D9" s="8"/>
      <c r="E9" s="8"/>
    </row>
    <row r="10" spans="1:5" ht="15.6" thickTop="1" thickBot="1" x14ac:dyDescent="0.35">
      <c r="A10" s="17" t="s">
        <v>86</v>
      </c>
      <c r="B10" s="18" t="s">
        <v>25</v>
      </c>
      <c r="C10" s="19">
        <v>31000</v>
      </c>
      <c r="D10" s="8"/>
      <c r="E10" s="8"/>
    </row>
    <row r="11" spans="1:5" ht="15.6" thickTop="1" thickBot="1" x14ac:dyDescent="0.35">
      <c r="A11" s="17" t="s">
        <v>61</v>
      </c>
      <c r="B11" s="18" t="s">
        <v>26</v>
      </c>
      <c r="C11" s="19">
        <v>52000</v>
      </c>
      <c r="D11" s="8"/>
      <c r="E11" s="8"/>
    </row>
    <row r="12" spans="1:5" ht="15.6" thickTop="1" thickBot="1" x14ac:dyDescent="0.35">
      <c r="A12" s="17" t="s">
        <v>99</v>
      </c>
      <c r="B12" s="18" t="s">
        <v>27</v>
      </c>
      <c r="C12" s="19">
        <v>40000</v>
      </c>
      <c r="D12" s="8"/>
      <c r="E12" s="8"/>
    </row>
    <row r="13" spans="1:5" ht="15.6" thickTop="1" thickBot="1" x14ac:dyDescent="0.35">
      <c r="A13" s="17" t="s">
        <v>101</v>
      </c>
      <c r="B13" s="18" t="s">
        <v>25</v>
      </c>
      <c r="C13" s="19">
        <v>29000</v>
      </c>
      <c r="D13" s="8"/>
      <c r="E13" s="8"/>
    </row>
    <row r="14" spans="1:5" ht="15.6" thickTop="1" thickBot="1" x14ac:dyDescent="0.35">
      <c r="A14" s="17" t="s">
        <v>91</v>
      </c>
      <c r="B14" s="18" t="s">
        <v>26</v>
      </c>
      <c r="C14" s="19">
        <v>55000</v>
      </c>
      <c r="D14" s="8"/>
      <c r="E14" s="8"/>
    </row>
    <row r="15" spans="1:5" ht="15.6" thickTop="1" thickBot="1" x14ac:dyDescent="0.35">
      <c r="A15" s="17" t="s">
        <v>94</v>
      </c>
      <c r="B15" s="18" t="s">
        <v>27</v>
      </c>
      <c r="C15" s="19">
        <v>37000</v>
      </c>
      <c r="D15" s="8"/>
      <c r="E15" s="8"/>
    </row>
    <row r="16" spans="1:5" ht="15.6" thickTop="1" thickBot="1" x14ac:dyDescent="0.35">
      <c r="A16" s="17" t="s">
        <v>100</v>
      </c>
      <c r="B16" s="18" t="s">
        <v>25</v>
      </c>
      <c r="C16" s="19">
        <v>32000</v>
      </c>
      <c r="D16" s="8"/>
      <c r="E16" s="8"/>
    </row>
    <row r="17" spans="1:7" ht="15.6" thickTop="1" thickBot="1" x14ac:dyDescent="0.35">
      <c r="A17" s="17" t="s">
        <v>97</v>
      </c>
      <c r="B17" s="18" t="s">
        <v>26</v>
      </c>
      <c r="C17" s="19">
        <v>46000</v>
      </c>
      <c r="D17" s="8"/>
      <c r="E17" s="8"/>
    </row>
    <row r="18" spans="1:7" ht="15.6" thickTop="1" thickBot="1" x14ac:dyDescent="0.35">
      <c r="A18" s="17" t="s">
        <v>89</v>
      </c>
      <c r="B18" s="18" t="s">
        <v>27</v>
      </c>
      <c r="C18" s="19">
        <v>39000</v>
      </c>
      <c r="D18" s="8"/>
      <c r="E18" s="8"/>
    </row>
    <row r="19" spans="1:7" ht="15.6" thickTop="1" thickBot="1" x14ac:dyDescent="0.35">
      <c r="A19" s="17" t="s">
        <v>90</v>
      </c>
      <c r="B19" s="18" t="s">
        <v>25</v>
      </c>
      <c r="C19" s="19">
        <v>34000</v>
      </c>
      <c r="D19" s="8"/>
      <c r="E19" s="8"/>
    </row>
    <row r="20" spans="1:7" ht="15.6" thickTop="1" thickBot="1" x14ac:dyDescent="0.35">
      <c r="A20" s="17" t="s">
        <v>85</v>
      </c>
      <c r="B20" s="18" t="s">
        <v>26</v>
      </c>
      <c r="C20" s="19">
        <v>48000</v>
      </c>
      <c r="D20" s="8"/>
      <c r="E20" s="8"/>
      <c r="G20" s="7"/>
    </row>
    <row r="21" spans="1:7" ht="15" thickTop="1" x14ac:dyDescent="0.3">
      <c r="A21" s="20" t="s">
        <v>87</v>
      </c>
      <c r="B21" s="21" t="s">
        <v>27</v>
      </c>
      <c r="C21" s="22">
        <v>41000</v>
      </c>
      <c r="D21" s="8"/>
      <c r="E21" s="8"/>
    </row>
    <row r="23" spans="1:7" s="12" customFormat="1" ht="35.4" customHeight="1" x14ac:dyDescent="0.3">
      <c r="A23" s="10" t="s">
        <v>137</v>
      </c>
      <c r="B23" s="13" t="s">
        <v>138</v>
      </c>
      <c r="C23" s="13" t="s">
        <v>139</v>
      </c>
      <c r="D23" s="13" t="s">
        <v>140</v>
      </c>
      <c r="E23" s="13" t="s">
        <v>141</v>
      </c>
      <c r="F23" s="10" t="s">
        <v>136</v>
      </c>
      <c r="G23" s="10" t="s">
        <v>135</v>
      </c>
    </row>
    <row r="24" spans="1:7" x14ac:dyDescent="0.3">
      <c r="A24" s="10" t="s">
        <v>26</v>
      </c>
      <c r="B24" s="9">
        <f>SUMIF(B2:B21,"IT",C2:C21)</f>
        <v>343000</v>
      </c>
      <c r="C24" s="9">
        <f>AVERAGEIF(B2:B21,"IT",C2:C21)</f>
        <v>49000</v>
      </c>
      <c r="D24" s="13">
        <v>7</v>
      </c>
      <c r="E24" s="13"/>
      <c r="F24" s="9"/>
      <c r="G24" s="9"/>
    </row>
    <row r="25" spans="1:7" x14ac:dyDescent="0.3">
      <c r="A25" s="10" t="s">
        <v>27</v>
      </c>
      <c r="B25" s="9">
        <f>SUMIF(B2:B21,"Finance",C2:C21)</f>
        <v>273000</v>
      </c>
      <c r="C25" s="9">
        <f>AVERAGEIF(B2:B21,"Finance",C2:C21)</f>
        <v>39000</v>
      </c>
      <c r="D25" s="13">
        <v>7</v>
      </c>
      <c r="E25" s="13">
        <v>20</v>
      </c>
      <c r="F25" s="9">
        <f>40000</f>
        <v>40000</v>
      </c>
      <c r="G25" s="9">
        <f>SUM(B25:B27)</f>
        <v>457000</v>
      </c>
    </row>
    <row r="26" spans="1:7" x14ac:dyDescent="0.3">
      <c r="A26" s="10" t="s">
        <v>25</v>
      </c>
      <c r="B26" s="9">
        <f>SUMIF(B2:B21,"HR",C2:C21)</f>
        <v>184000</v>
      </c>
      <c r="C26" s="9">
        <f>AVERAGEIF(B2:B21,"HR",C2:C21)</f>
        <v>30666.666666666668</v>
      </c>
      <c r="D26" s="13">
        <v>6</v>
      </c>
      <c r="E26" s="13"/>
      <c r="F26" s="9"/>
      <c r="G26" s="10"/>
    </row>
  </sheetData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7AA16-2270-4597-9BEE-9014EC3E56D9}">
  <dimension ref="A1:H21"/>
  <sheetViews>
    <sheetView workbookViewId="0">
      <selection activeCell="M14" sqref="M14"/>
    </sheetView>
  </sheetViews>
  <sheetFormatPr defaultRowHeight="14.4" x14ac:dyDescent="0.3"/>
  <cols>
    <col min="1" max="1" width="17" customWidth="1"/>
    <col min="2" max="5" width="10.109375" customWidth="1"/>
    <col min="6" max="6" width="10" customWidth="1"/>
    <col min="7" max="7" width="19.21875" bestFit="1" customWidth="1"/>
    <col min="8" max="8" width="18.21875" bestFit="1" customWidth="1"/>
  </cols>
  <sheetData>
    <row r="1" spans="1:8" ht="31.8" customHeight="1" x14ac:dyDescent="0.3">
      <c r="A1" s="23" t="s">
        <v>78</v>
      </c>
      <c r="B1" s="24" t="s">
        <v>142</v>
      </c>
      <c r="C1" s="24" t="s">
        <v>143</v>
      </c>
      <c r="D1" s="24" t="s">
        <v>144</v>
      </c>
      <c r="E1" s="24" t="s">
        <v>145</v>
      </c>
      <c r="F1" s="25" t="s">
        <v>146</v>
      </c>
      <c r="G1" s="25" t="s">
        <v>149</v>
      </c>
      <c r="H1" s="25" t="s">
        <v>150</v>
      </c>
    </row>
    <row r="2" spans="1:8" x14ac:dyDescent="0.3">
      <c r="A2" s="26" t="s">
        <v>83</v>
      </c>
      <c r="B2" s="27" t="s">
        <v>147</v>
      </c>
      <c r="C2" s="27" t="s">
        <v>148</v>
      </c>
      <c r="D2" s="27" t="s">
        <v>147</v>
      </c>
      <c r="E2" s="27" t="s">
        <v>147</v>
      </c>
      <c r="F2" s="28" t="s">
        <v>147</v>
      </c>
      <c r="G2" s="28">
        <f t="shared" ref="G2:G21" si="0">COUNTIF(B2:F2,"P")</f>
        <v>4</v>
      </c>
      <c r="H2" s="28">
        <f t="shared" ref="H2:H21" si="1">COUNTIF(B2:F2,"A")</f>
        <v>1</v>
      </c>
    </row>
    <row r="3" spans="1:8" x14ac:dyDescent="0.3">
      <c r="A3" s="26" t="s">
        <v>84</v>
      </c>
      <c r="B3" s="27" t="s">
        <v>147</v>
      </c>
      <c r="C3" s="27" t="s">
        <v>147</v>
      </c>
      <c r="D3" s="27" t="s">
        <v>147</v>
      </c>
      <c r="E3" s="27" t="s">
        <v>148</v>
      </c>
      <c r="F3" s="28" t="s">
        <v>147</v>
      </c>
      <c r="G3" s="28">
        <f t="shared" si="0"/>
        <v>4</v>
      </c>
      <c r="H3" s="28">
        <f t="shared" si="1"/>
        <v>1</v>
      </c>
    </row>
    <row r="4" spans="1:8" x14ac:dyDescent="0.3">
      <c r="A4" s="26" t="s">
        <v>85</v>
      </c>
      <c r="B4" s="27" t="s">
        <v>148</v>
      </c>
      <c r="C4" s="27" t="s">
        <v>147</v>
      </c>
      <c r="D4" s="27" t="s">
        <v>147</v>
      </c>
      <c r="E4" s="27" t="s">
        <v>147</v>
      </c>
      <c r="F4" s="28" t="s">
        <v>147</v>
      </c>
      <c r="G4" s="28">
        <f t="shared" si="0"/>
        <v>4</v>
      </c>
      <c r="H4" s="28">
        <f t="shared" si="1"/>
        <v>1</v>
      </c>
    </row>
    <row r="5" spans="1:8" x14ac:dyDescent="0.3">
      <c r="A5" s="26" t="s">
        <v>86</v>
      </c>
      <c r="B5" s="27" t="s">
        <v>147</v>
      </c>
      <c r="C5" s="27" t="s">
        <v>148</v>
      </c>
      <c r="D5" s="27" t="s">
        <v>148</v>
      </c>
      <c r="E5" s="27" t="s">
        <v>147</v>
      </c>
      <c r="F5" s="28" t="s">
        <v>148</v>
      </c>
      <c r="G5" s="28">
        <f t="shared" si="0"/>
        <v>2</v>
      </c>
      <c r="H5" s="28">
        <f t="shared" si="1"/>
        <v>3</v>
      </c>
    </row>
    <row r="6" spans="1:8" x14ac:dyDescent="0.3">
      <c r="A6" s="26" t="s">
        <v>87</v>
      </c>
      <c r="B6" s="27" t="s">
        <v>147</v>
      </c>
      <c r="C6" s="27" t="s">
        <v>147</v>
      </c>
      <c r="D6" s="27" t="s">
        <v>147</v>
      </c>
      <c r="E6" s="27" t="s">
        <v>147</v>
      </c>
      <c r="F6" s="28" t="s">
        <v>148</v>
      </c>
      <c r="G6" s="28">
        <f t="shared" si="0"/>
        <v>4</v>
      </c>
      <c r="H6" s="28">
        <f t="shared" si="1"/>
        <v>1</v>
      </c>
    </row>
    <row r="7" spans="1:8" x14ac:dyDescent="0.3">
      <c r="A7" s="26" t="s">
        <v>88</v>
      </c>
      <c r="B7" s="27" t="s">
        <v>148</v>
      </c>
      <c r="C7" s="27" t="s">
        <v>147</v>
      </c>
      <c r="D7" s="27" t="s">
        <v>148</v>
      </c>
      <c r="E7" s="27" t="s">
        <v>147</v>
      </c>
      <c r="F7" s="28" t="s">
        <v>147</v>
      </c>
      <c r="G7" s="28">
        <f t="shared" si="0"/>
        <v>3</v>
      </c>
      <c r="H7" s="28">
        <f t="shared" si="1"/>
        <v>2</v>
      </c>
    </row>
    <row r="8" spans="1:8" x14ac:dyDescent="0.3">
      <c r="A8" s="26" t="s">
        <v>89</v>
      </c>
      <c r="B8" s="27" t="s">
        <v>147</v>
      </c>
      <c r="C8" s="27" t="s">
        <v>147</v>
      </c>
      <c r="D8" s="27" t="s">
        <v>147</v>
      </c>
      <c r="E8" s="27" t="s">
        <v>147</v>
      </c>
      <c r="F8" s="28" t="s">
        <v>147</v>
      </c>
      <c r="G8" s="28">
        <f t="shared" si="0"/>
        <v>5</v>
      </c>
      <c r="H8" s="28">
        <f t="shared" si="1"/>
        <v>0</v>
      </c>
    </row>
    <row r="9" spans="1:8" x14ac:dyDescent="0.3">
      <c r="A9" s="26" t="s">
        <v>90</v>
      </c>
      <c r="B9" s="27" t="s">
        <v>147</v>
      </c>
      <c r="C9" s="27" t="s">
        <v>148</v>
      </c>
      <c r="D9" s="27" t="s">
        <v>147</v>
      </c>
      <c r="E9" s="27" t="s">
        <v>147</v>
      </c>
      <c r="F9" s="28" t="s">
        <v>148</v>
      </c>
      <c r="G9" s="28">
        <f t="shared" si="0"/>
        <v>3</v>
      </c>
      <c r="H9" s="28">
        <f t="shared" si="1"/>
        <v>2</v>
      </c>
    </row>
    <row r="10" spans="1:8" x14ac:dyDescent="0.3">
      <c r="A10" s="26" t="s">
        <v>91</v>
      </c>
      <c r="B10" s="27" t="s">
        <v>147</v>
      </c>
      <c r="C10" s="27" t="s">
        <v>147</v>
      </c>
      <c r="D10" s="27" t="s">
        <v>148</v>
      </c>
      <c r="E10" s="27" t="s">
        <v>147</v>
      </c>
      <c r="F10" s="28" t="s">
        <v>147</v>
      </c>
      <c r="G10" s="28">
        <f t="shared" si="0"/>
        <v>4</v>
      </c>
      <c r="H10" s="28">
        <f t="shared" si="1"/>
        <v>1</v>
      </c>
    </row>
    <row r="11" spans="1:8" x14ac:dyDescent="0.3">
      <c r="A11" s="26" t="s">
        <v>92</v>
      </c>
      <c r="B11" s="27" t="s">
        <v>148</v>
      </c>
      <c r="C11" s="27" t="s">
        <v>147</v>
      </c>
      <c r="D11" s="27" t="s">
        <v>147</v>
      </c>
      <c r="E11" s="27" t="s">
        <v>148</v>
      </c>
      <c r="F11" s="28" t="s">
        <v>147</v>
      </c>
      <c r="G11" s="28">
        <f t="shared" si="0"/>
        <v>3</v>
      </c>
      <c r="H11" s="28">
        <f t="shared" si="1"/>
        <v>2</v>
      </c>
    </row>
    <row r="12" spans="1:8" x14ac:dyDescent="0.3">
      <c r="A12" s="26" t="s">
        <v>93</v>
      </c>
      <c r="B12" s="27" t="s">
        <v>147</v>
      </c>
      <c r="C12" s="27" t="s">
        <v>147</v>
      </c>
      <c r="D12" s="27" t="s">
        <v>147</v>
      </c>
      <c r="E12" s="27" t="s">
        <v>147</v>
      </c>
      <c r="F12" s="28" t="s">
        <v>148</v>
      </c>
      <c r="G12" s="28">
        <f t="shared" si="0"/>
        <v>4</v>
      </c>
      <c r="H12" s="28">
        <f t="shared" si="1"/>
        <v>1</v>
      </c>
    </row>
    <row r="13" spans="1:8" x14ac:dyDescent="0.3">
      <c r="A13" s="26" t="s">
        <v>94</v>
      </c>
      <c r="B13" s="27" t="s">
        <v>147</v>
      </c>
      <c r="C13" s="27" t="s">
        <v>148</v>
      </c>
      <c r="D13" s="27" t="s">
        <v>147</v>
      </c>
      <c r="E13" s="27" t="s">
        <v>147</v>
      </c>
      <c r="F13" s="28" t="s">
        <v>147</v>
      </c>
      <c r="G13" s="28">
        <f t="shared" si="0"/>
        <v>4</v>
      </c>
      <c r="H13" s="28">
        <f t="shared" si="1"/>
        <v>1</v>
      </c>
    </row>
    <row r="14" spans="1:8" x14ac:dyDescent="0.3">
      <c r="A14" s="26" t="s">
        <v>95</v>
      </c>
      <c r="B14" s="27" t="s">
        <v>147</v>
      </c>
      <c r="C14" s="27" t="s">
        <v>147</v>
      </c>
      <c r="D14" s="27" t="s">
        <v>148</v>
      </c>
      <c r="E14" s="27" t="s">
        <v>147</v>
      </c>
      <c r="F14" s="28" t="s">
        <v>147</v>
      </c>
      <c r="G14" s="28">
        <f t="shared" si="0"/>
        <v>4</v>
      </c>
      <c r="H14" s="28">
        <f t="shared" si="1"/>
        <v>1</v>
      </c>
    </row>
    <row r="15" spans="1:8" x14ac:dyDescent="0.3">
      <c r="A15" s="26" t="s">
        <v>96</v>
      </c>
      <c r="B15" s="27" t="s">
        <v>148</v>
      </c>
      <c r="C15" s="27" t="s">
        <v>147</v>
      </c>
      <c r="D15" s="27" t="s">
        <v>147</v>
      </c>
      <c r="E15" s="27" t="s">
        <v>147</v>
      </c>
      <c r="F15" s="28" t="s">
        <v>148</v>
      </c>
      <c r="G15" s="28">
        <f t="shared" si="0"/>
        <v>3</v>
      </c>
      <c r="H15" s="28">
        <f t="shared" si="1"/>
        <v>2</v>
      </c>
    </row>
    <row r="16" spans="1:8" x14ac:dyDescent="0.3">
      <c r="A16" s="26" t="s">
        <v>97</v>
      </c>
      <c r="B16" s="27" t="s">
        <v>147</v>
      </c>
      <c r="C16" s="27" t="s">
        <v>147</v>
      </c>
      <c r="D16" s="27" t="s">
        <v>147</v>
      </c>
      <c r="E16" s="27" t="s">
        <v>147</v>
      </c>
      <c r="F16" s="28" t="s">
        <v>147</v>
      </c>
      <c r="G16" s="28">
        <f t="shared" si="0"/>
        <v>5</v>
      </c>
      <c r="H16" s="28">
        <f t="shared" si="1"/>
        <v>0</v>
      </c>
    </row>
    <row r="17" spans="1:8" x14ac:dyDescent="0.3">
      <c r="A17" s="26" t="s">
        <v>98</v>
      </c>
      <c r="B17" s="27" t="s">
        <v>147</v>
      </c>
      <c r="C17" s="27" t="s">
        <v>148</v>
      </c>
      <c r="D17" s="27" t="s">
        <v>147</v>
      </c>
      <c r="E17" s="27" t="s">
        <v>147</v>
      </c>
      <c r="F17" s="28" t="s">
        <v>147</v>
      </c>
      <c r="G17" s="28">
        <f t="shared" si="0"/>
        <v>4</v>
      </c>
      <c r="H17" s="28">
        <f t="shared" si="1"/>
        <v>1</v>
      </c>
    </row>
    <row r="18" spans="1:8" x14ac:dyDescent="0.3">
      <c r="A18" s="26" t="s">
        <v>61</v>
      </c>
      <c r="B18" s="27" t="s">
        <v>147</v>
      </c>
      <c r="C18" s="27" t="s">
        <v>147</v>
      </c>
      <c r="D18" s="27" t="s">
        <v>147</v>
      </c>
      <c r="E18" s="27" t="s">
        <v>148</v>
      </c>
      <c r="F18" s="28" t="s">
        <v>147</v>
      </c>
      <c r="G18" s="28">
        <f t="shared" si="0"/>
        <v>4</v>
      </c>
      <c r="H18" s="28">
        <f t="shared" si="1"/>
        <v>1</v>
      </c>
    </row>
    <row r="19" spans="1:8" x14ac:dyDescent="0.3">
      <c r="A19" s="26" t="s">
        <v>99</v>
      </c>
      <c r="B19" s="27" t="s">
        <v>148</v>
      </c>
      <c r="C19" s="27" t="s">
        <v>147</v>
      </c>
      <c r="D19" s="27" t="s">
        <v>147</v>
      </c>
      <c r="E19" s="27" t="s">
        <v>147</v>
      </c>
      <c r="F19" s="28" t="s">
        <v>147</v>
      </c>
      <c r="G19" s="28">
        <f t="shared" si="0"/>
        <v>4</v>
      </c>
      <c r="H19" s="28">
        <f t="shared" si="1"/>
        <v>1</v>
      </c>
    </row>
    <row r="20" spans="1:8" x14ac:dyDescent="0.3">
      <c r="A20" s="26" t="s">
        <v>100</v>
      </c>
      <c r="B20" s="27" t="s">
        <v>147</v>
      </c>
      <c r="C20" s="27" t="s">
        <v>147</v>
      </c>
      <c r="D20" s="27" t="s">
        <v>148</v>
      </c>
      <c r="E20" s="27" t="s">
        <v>147</v>
      </c>
      <c r="F20" s="28" t="s">
        <v>148</v>
      </c>
      <c r="G20" s="28">
        <f t="shared" si="0"/>
        <v>3</v>
      </c>
      <c r="H20" s="28">
        <f t="shared" si="1"/>
        <v>2</v>
      </c>
    </row>
    <row r="21" spans="1:8" x14ac:dyDescent="0.3">
      <c r="A21" s="29" t="s">
        <v>101</v>
      </c>
      <c r="B21" s="30" t="s">
        <v>147</v>
      </c>
      <c r="C21" s="30" t="s">
        <v>147</v>
      </c>
      <c r="D21" s="30" t="s">
        <v>147</v>
      </c>
      <c r="E21" s="30" t="s">
        <v>147</v>
      </c>
      <c r="F21" s="31" t="s">
        <v>147</v>
      </c>
      <c r="G21" s="31">
        <f t="shared" si="0"/>
        <v>5</v>
      </c>
      <c r="H21" s="31">
        <f t="shared" si="1"/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EB302-D97C-4F20-ACF6-0BC906741251}">
  <dimension ref="A1:B24"/>
  <sheetViews>
    <sheetView workbookViewId="0">
      <selection activeCell="H11" sqref="H11"/>
    </sheetView>
  </sheetViews>
  <sheetFormatPr defaultRowHeight="14.4" x14ac:dyDescent="0.3"/>
  <cols>
    <col min="1" max="1" width="14.109375" customWidth="1"/>
    <col min="2" max="2" width="18.44140625" customWidth="1"/>
    <col min="4" max="4" width="8.88671875" customWidth="1"/>
  </cols>
  <sheetData>
    <row r="1" spans="1:2" ht="25.2" customHeight="1" thickBot="1" x14ac:dyDescent="0.35">
      <c r="A1" s="34" t="s">
        <v>151</v>
      </c>
      <c r="B1" s="35" t="s">
        <v>50</v>
      </c>
    </row>
    <row r="2" spans="1:2" ht="15.6" thickTop="1" thickBot="1" x14ac:dyDescent="0.35">
      <c r="A2" s="32" t="s">
        <v>152</v>
      </c>
      <c r="B2" s="81">
        <v>4500</v>
      </c>
    </row>
    <row r="3" spans="1:2" ht="15.6" thickTop="1" thickBot="1" x14ac:dyDescent="0.35">
      <c r="A3" s="32" t="s">
        <v>153</v>
      </c>
      <c r="B3" s="81">
        <v>12000</v>
      </c>
    </row>
    <row r="4" spans="1:2" ht="15.6" thickTop="1" thickBot="1" x14ac:dyDescent="0.35">
      <c r="A4" s="32" t="s">
        <v>154</v>
      </c>
      <c r="B4" s="81">
        <v>8000</v>
      </c>
    </row>
    <row r="5" spans="1:2" ht="15.6" thickTop="1" thickBot="1" x14ac:dyDescent="0.35">
      <c r="A5" s="32" t="s">
        <v>155</v>
      </c>
      <c r="B5" s="81">
        <v>25000</v>
      </c>
    </row>
    <row r="6" spans="1:2" ht="15.6" thickTop="1" thickBot="1" x14ac:dyDescent="0.35">
      <c r="A6" s="32" t="s">
        <v>156</v>
      </c>
      <c r="B6" s="81">
        <v>3000</v>
      </c>
    </row>
    <row r="7" spans="1:2" ht="15.6" thickTop="1" thickBot="1" x14ac:dyDescent="0.35">
      <c r="A7" s="32" t="s">
        <v>157</v>
      </c>
      <c r="B7" s="81">
        <v>15000</v>
      </c>
    </row>
    <row r="8" spans="1:2" ht="15.6" thickTop="1" thickBot="1" x14ac:dyDescent="0.35">
      <c r="A8" s="32" t="s">
        <v>158</v>
      </c>
      <c r="B8" s="81">
        <v>18000</v>
      </c>
    </row>
    <row r="9" spans="1:2" ht="15.6" thickTop="1" thickBot="1" x14ac:dyDescent="0.35">
      <c r="A9" s="32" t="s">
        <v>159</v>
      </c>
      <c r="B9" s="81">
        <v>22000</v>
      </c>
    </row>
    <row r="10" spans="1:2" ht="15.6" thickTop="1" thickBot="1" x14ac:dyDescent="0.35">
      <c r="A10" s="32" t="s">
        <v>160</v>
      </c>
      <c r="B10" s="81">
        <v>9500</v>
      </c>
    </row>
    <row r="11" spans="1:2" ht="15.6" thickTop="1" thickBot="1" x14ac:dyDescent="0.35">
      <c r="A11" s="32" t="s">
        <v>161</v>
      </c>
      <c r="B11" s="81">
        <v>30000</v>
      </c>
    </row>
    <row r="12" spans="1:2" ht="15.6" thickTop="1" thickBot="1" x14ac:dyDescent="0.35">
      <c r="A12" s="32" t="s">
        <v>162</v>
      </c>
      <c r="B12" s="81">
        <v>12500</v>
      </c>
    </row>
    <row r="13" spans="1:2" ht="15.6" thickTop="1" thickBot="1" x14ac:dyDescent="0.35">
      <c r="A13" s="32" t="s">
        <v>163</v>
      </c>
      <c r="B13" s="81">
        <v>21000</v>
      </c>
    </row>
    <row r="14" spans="1:2" ht="15.6" thickTop="1" thickBot="1" x14ac:dyDescent="0.35">
      <c r="A14" s="32" t="s">
        <v>164</v>
      </c>
      <c r="B14" s="81">
        <v>17500</v>
      </c>
    </row>
    <row r="15" spans="1:2" ht="15.6" thickTop="1" thickBot="1" x14ac:dyDescent="0.35">
      <c r="A15" s="32" t="s">
        <v>165</v>
      </c>
      <c r="B15" s="81">
        <v>28000</v>
      </c>
    </row>
    <row r="16" spans="1:2" ht="15.6" thickTop="1" thickBot="1" x14ac:dyDescent="0.35">
      <c r="A16" s="32" t="s">
        <v>166</v>
      </c>
      <c r="B16" s="81">
        <v>16000</v>
      </c>
    </row>
    <row r="17" spans="1:2" ht="15.6" thickTop="1" thickBot="1" x14ac:dyDescent="0.35">
      <c r="A17" s="32" t="s">
        <v>167</v>
      </c>
      <c r="B17" s="81">
        <v>35000</v>
      </c>
    </row>
    <row r="18" spans="1:2" ht="15.6" thickTop="1" thickBot="1" x14ac:dyDescent="0.35">
      <c r="A18" s="32" t="s">
        <v>168</v>
      </c>
      <c r="B18" s="81">
        <v>14000</v>
      </c>
    </row>
    <row r="19" spans="1:2" ht="15.6" thickTop="1" thickBot="1" x14ac:dyDescent="0.35">
      <c r="A19" s="32" t="s">
        <v>169</v>
      </c>
      <c r="B19" s="81">
        <v>19500</v>
      </c>
    </row>
    <row r="20" spans="1:2" ht="15.6" thickTop="1" thickBot="1" x14ac:dyDescent="0.35">
      <c r="A20" s="32" t="s">
        <v>170</v>
      </c>
      <c r="B20" s="81">
        <v>26000</v>
      </c>
    </row>
    <row r="21" spans="1:2" ht="15" thickTop="1" x14ac:dyDescent="0.3">
      <c r="A21" s="33" t="s">
        <v>171</v>
      </c>
      <c r="B21" s="82">
        <v>11000</v>
      </c>
    </row>
    <row r="23" spans="1:2" ht="28.8" x14ac:dyDescent="0.3">
      <c r="A23" s="36" t="s">
        <v>172</v>
      </c>
      <c r="B23" s="37">
        <f>COUNTIF(B2:B21,"&lt;5000")</f>
        <v>2</v>
      </c>
    </row>
    <row r="24" spans="1:2" ht="28.8" x14ac:dyDescent="0.3">
      <c r="A24" s="36" t="s">
        <v>173</v>
      </c>
      <c r="B24" s="37">
        <f>COUNTIF(B2:B21,"&gt;10000")</f>
        <v>16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BCED3-1536-43CB-9DAF-F1B479D8B809}">
  <dimension ref="A1:B21"/>
  <sheetViews>
    <sheetView workbookViewId="0">
      <selection activeCell="E18" sqref="E18"/>
    </sheetView>
  </sheetViews>
  <sheetFormatPr defaultRowHeight="14.4" x14ac:dyDescent="0.3"/>
  <cols>
    <col min="1" max="1" width="18.6640625" customWidth="1"/>
    <col min="2" max="2" width="20.21875" customWidth="1"/>
  </cols>
  <sheetData>
    <row r="1" spans="1:2" ht="28.2" customHeight="1" thickBot="1" x14ac:dyDescent="0.35">
      <c r="A1" s="39" t="s">
        <v>174</v>
      </c>
      <c r="B1" s="39" t="s">
        <v>50</v>
      </c>
    </row>
    <row r="2" spans="1:2" ht="15" thickBot="1" x14ac:dyDescent="0.35">
      <c r="A2" s="38" t="s">
        <v>175</v>
      </c>
      <c r="B2" s="83">
        <v>22000</v>
      </c>
    </row>
    <row r="3" spans="1:2" ht="15" thickBot="1" x14ac:dyDescent="0.35">
      <c r="A3" s="38" t="s">
        <v>176</v>
      </c>
      <c r="B3" s="83">
        <v>3500</v>
      </c>
    </row>
    <row r="4" spans="1:2" ht="15" thickBot="1" x14ac:dyDescent="0.35">
      <c r="A4" s="38" t="s">
        <v>177</v>
      </c>
      <c r="B4" s="83">
        <v>58000</v>
      </c>
    </row>
    <row r="5" spans="1:2" ht="15" thickBot="1" x14ac:dyDescent="0.35">
      <c r="A5" s="38" t="s">
        <v>178</v>
      </c>
      <c r="B5" s="83">
        <v>1800</v>
      </c>
    </row>
    <row r="6" spans="1:2" ht="15" thickBot="1" x14ac:dyDescent="0.35">
      <c r="A6" s="38" t="s">
        <v>179</v>
      </c>
      <c r="B6" s="83">
        <v>12000</v>
      </c>
    </row>
    <row r="7" spans="1:2" ht="15" thickBot="1" x14ac:dyDescent="0.35">
      <c r="A7" s="38" t="s">
        <v>180</v>
      </c>
      <c r="B7" s="83">
        <v>25000</v>
      </c>
    </row>
    <row r="8" spans="1:2" ht="15" thickBot="1" x14ac:dyDescent="0.35">
      <c r="A8" s="38" t="s">
        <v>181</v>
      </c>
      <c r="B8" s="83">
        <v>15000</v>
      </c>
    </row>
    <row r="9" spans="1:2" ht="15" thickBot="1" x14ac:dyDescent="0.35">
      <c r="A9" s="38" t="s">
        <v>182</v>
      </c>
      <c r="B9" s="83">
        <v>8000</v>
      </c>
    </row>
    <row r="10" spans="1:2" ht="15" thickBot="1" x14ac:dyDescent="0.35">
      <c r="A10" s="38" t="s">
        <v>183</v>
      </c>
      <c r="B10" s="83">
        <v>32000</v>
      </c>
    </row>
    <row r="11" spans="1:2" ht="15" thickBot="1" x14ac:dyDescent="0.35">
      <c r="A11" s="38" t="s">
        <v>184</v>
      </c>
      <c r="B11" s="83">
        <v>4500</v>
      </c>
    </row>
    <row r="12" spans="1:2" ht="15" thickBot="1" x14ac:dyDescent="0.35">
      <c r="A12" s="38" t="s">
        <v>185</v>
      </c>
      <c r="B12" s="83">
        <v>6000</v>
      </c>
    </row>
    <row r="13" spans="1:2" ht="15" thickBot="1" x14ac:dyDescent="0.35">
      <c r="A13" s="38" t="s">
        <v>186</v>
      </c>
      <c r="B13" s="83">
        <v>2200</v>
      </c>
    </row>
    <row r="14" spans="1:2" ht="15" thickBot="1" x14ac:dyDescent="0.35">
      <c r="A14" s="38" t="s">
        <v>187</v>
      </c>
      <c r="B14" s="83">
        <v>27000</v>
      </c>
    </row>
    <row r="15" spans="1:2" ht="15" thickBot="1" x14ac:dyDescent="0.35">
      <c r="A15" s="38" t="s">
        <v>188</v>
      </c>
      <c r="B15" s="83">
        <v>11000</v>
      </c>
    </row>
    <row r="16" spans="1:2" ht="15" thickBot="1" x14ac:dyDescent="0.35">
      <c r="A16" s="38" t="s">
        <v>189</v>
      </c>
      <c r="B16" s="83">
        <v>5200</v>
      </c>
    </row>
    <row r="17" spans="1:2" ht="15" thickBot="1" x14ac:dyDescent="0.35">
      <c r="A17" s="38" t="s">
        <v>190</v>
      </c>
      <c r="B17" s="83">
        <v>40000</v>
      </c>
    </row>
    <row r="18" spans="1:2" ht="15" thickBot="1" x14ac:dyDescent="0.35">
      <c r="A18" s="38" t="s">
        <v>191</v>
      </c>
      <c r="B18" s="83">
        <v>7000</v>
      </c>
    </row>
    <row r="19" spans="1:2" ht="15" thickBot="1" x14ac:dyDescent="0.35">
      <c r="A19" s="38" t="s">
        <v>192</v>
      </c>
      <c r="B19" s="83">
        <v>35000</v>
      </c>
    </row>
    <row r="20" spans="1:2" ht="15" thickBot="1" x14ac:dyDescent="0.35">
      <c r="A20" s="38" t="s">
        <v>193</v>
      </c>
      <c r="B20" s="83">
        <v>1800</v>
      </c>
    </row>
    <row r="21" spans="1:2" ht="15" thickBot="1" x14ac:dyDescent="0.35">
      <c r="A21" s="38" t="s">
        <v>194</v>
      </c>
      <c r="B21" s="83">
        <v>45000</v>
      </c>
    </row>
  </sheetData>
  <conditionalFormatting sqref="B2:B21">
    <cfRule type="cellIs" dxfId="12" priority="1" operator="lessThan">
      <formula>5000</formula>
    </cfRule>
    <cfRule type="cellIs" dxfId="11" priority="2" operator="greaterThan">
      <formula>20000</formula>
    </cfRule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70109-D6CB-4E71-B6CC-A3E51BC000D4}">
  <dimension ref="A1:C21"/>
  <sheetViews>
    <sheetView workbookViewId="0">
      <selection activeCell="E4" sqref="E4"/>
    </sheetView>
  </sheetViews>
  <sheetFormatPr defaultRowHeight="14.4" x14ac:dyDescent="0.3"/>
  <cols>
    <col min="1" max="1" width="13.109375" customWidth="1"/>
    <col min="2" max="2" width="12.21875" customWidth="1"/>
    <col min="3" max="3" width="14.77734375" customWidth="1"/>
  </cols>
  <sheetData>
    <row r="1" spans="1:3" ht="28.2" customHeight="1" x14ac:dyDescent="0.3">
      <c r="A1" s="76" t="s">
        <v>77</v>
      </c>
      <c r="B1" s="76" t="s">
        <v>0</v>
      </c>
      <c r="C1" s="76" t="s">
        <v>195</v>
      </c>
    </row>
    <row r="2" spans="1:3" x14ac:dyDescent="0.3">
      <c r="A2" s="74">
        <v>1</v>
      </c>
      <c r="B2" s="74" t="s">
        <v>133</v>
      </c>
      <c r="C2" s="75">
        <v>85</v>
      </c>
    </row>
    <row r="3" spans="1:3" x14ac:dyDescent="0.3">
      <c r="A3" s="74">
        <v>2</v>
      </c>
      <c r="B3" s="74" t="s">
        <v>196</v>
      </c>
      <c r="C3" s="75">
        <v>72</v>
      </c>
    </row>
    <row r="4" spans="1:3" x14ac:dyDescent="0.3">
      <c r="A4" s="74">
        <v>3</v>
      </c>
      <c r="B4" s="74" t="s">
        <v>197</v>
      </c>
      <c r="C4" s="75">
        <v>39</v>
      </c>
    </row>
    <row r="5" spans="1:3" x14ac:dyDescent="0.3">
      <c r="A5" s="74">
        <v>4</v>
      </c>
      <c r="B5" s="74" t="s">
        <v>198</v>
      </c>
      <c r="C5" s="75">
        <v>91</v>
      </c>
    </row>
    <row r="6" spans="1:3" x14ac:dyDescent="0.3">
      <c r="A6" s="74">
        <v>5</v>
      </c>
      <c r="B6" s="74" t="s">
        <v>88</v>
      </c>
      <c r="C6" s="75">
        <v>28</v>
      </c>
    </row>
    <row r="7" spans="1:3" x14ac:dyDescent="0.3">
      <c r="A7" s="74">
        <v>6</v>
      </c>
      <c r="B7" s="74" t="s">
        <v>89</v>
      </c>
      <c r="C7" s="75">
        <v>76</v>
      </c>
    </row>
    <row r="8" spans="1:3" x14ac:dyDescent="0.3">
      <c r="A8" s="74">
        <v>7</v>
      </c>
      <c r="B8" s="74" t="s">
        <v>90</v>
      </c>
      <c r="C8" s="75">
        <v>54</v>
      </c>
    </row>
    <row r="9" spans="1:3" x14ac:dyDescent="0.3">
      <c r="A9" s="74">
        <v>8</v>
      </c>
      <c r="B9" s="74" t="s">
        <v>91</v>
      </c>
      <c r="C9" s="75">
        <v>88</v>
      </c>
    </row>
    <row r="10" spans="1:3" x14ac:dyDescent="0.3">
      <c r="A10" s="74">
        <v>9</v>
      </c>
      <c r="B10" s="74" t="s">
        <v>92</v>
      </c>
      <c r="C10" s="75">
        <v>63</v>
      </c>
    </row>
    <row r="11" spans="1:3" x14ac:dyDescent="0.3">
      <c r="A11" s="74">
        <v>10</v>
      </c>
      <c r="B11" s="74" t="s">
        <v>93</v>
      </c>
      <c r="C11" s="75">
        <v>47</v>
      </c>
    </row>
    <row r="12" spans="1:3" x14ac:dyDescent="0.3">
      <c r="A12" s="74">
        <v>11</v>
      </c>
      <c r="B12" s="74" t="s">
        <v>94</v>
      </c>
      <c r="C12" s="75">
        <v>95</v>
      </c>
    </row>
    <row r="13" spans="1:3" x14ac:dyDescent="0.3">
      <c r="A13" s="74">
        <v>12</v>
      </c>
      <c r="B13" s="74" t="s">
        <v>95</v>
      </c>
      <c r="C13" s="75">
        <v>41</v>
      </c>
    </row>
    <row r="14" spans="1:3" x14ac:dyDescent="0.3">
      <c r="A14" s="74">
        <v>13</v>
      </c>
      <c r="B14" s="74" t="s">
        <v>96</v>
      </c>
      <c r="C14" s="75">
        <v>69</v>
      </c>
    </row>
    <row r="15" spans="1:3" x14ac:dyDescent="0.3">
      <c r="A15" s="74">
        <v>14</v>
      </c>
      <c r="B15" s="74" t="s">
        <v>97</v>
      </c>
      <c r="C15" s="75">
        <v>58</v>
      </c>
    </row>
    <row r="16" spans="1:3" x14ac:dyDescent="0.3">
      <c r="A16" s="74">
        <v>15</v>
      </c>
      <c r="B16" s="74" t="s">
        <v>98</v>
      </c>
      <c r="C16" s="75">
        <v>82</v>
      </c>
    </row>
    <row r="17" spans="1:3" x14ac:dyDescent="0.3">
      <c r="A17" s="74">
        <v>16</v>
      </c>
      <c r="B17" s="74" t="s">
        <v>61</v>
      </c>
      <c r="C17" s="75">
        <v>90</v>
      </c>
    </row>
    <row r="18" spans="1:3" x14ac:dyDescent="0.3">
      <c r="A18" s="74">
        <v>17</v>
      </c>
      <c r="B18" s="74" t="s">
        <v>99</v>
      </c>
      <c r="C18" s="75">
        <v>36</v>
      </c>
    </row>
    <row r="19" spans="1:3" x14ac:dyDescent="0.3">
      <c r="A19" s="74">
        <v>18</v>
      </c>
      <c r="B19" s="74" t="s">
        <v>100</v>
      </c>
      <c r="C19" s="75">
        <v>73</v>
      </c>
    </row>
    <row r="20" spans="1:3" x14ac:dyDescent="0.3">
      <c r="A20" s="74">
        <v>19</v>
      </c>
      <c r="B20" s="74" t="s">
        <v>101</v>
      </c>
      <c r="C20" s="75">
        <v>66</v>
      </c>
    </row>
    <row r="21" spans="1:3" x14ac:dyDescent="0.3">
      <c r="A21" s="74">
        <v>20</v>
      </c>
      <c r="B21" s="74" t="s">
        <v>199</v>
      </c>
      <c r="C21" s="75">
        <v>52</v>
      </c>
    </row>
  </sheetData>
  <conditionalFormatting sqref="C2:C21">
    <cfRule type="cellIs" dxfId="10" priority="1" operator="lessThan">
      <formula>40</formula>
    </cfRule>
    <cfRule type="cellIs" dxfId="9" priority="2" operator="greaterThanOrEqual">
      <formula>75</formula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552D6-D333-438D-A28C-098E935C2503}">
  <dimension ref="A1:B21"/>
  <sheetViews>
    <sheetView tabSelected="1" workbookViewId="0">
      <selection activeCell="H13" sqref="H13"/>
    </sheetView>
  </sheetViews>
  <sheetFormatPr defaultRowHeight="14.4" x14ac:dyDescent="0.3"/>
  <cols>
    <col min="1" max="1" width="19.21875" customWidth="1"/>
    <col min="2" max="2" width="14.21875" customWidth="1"/>
  </cols>
  <sheetData>
    <row r="1" spans="1:2" ht="15.6" x14ac:dyDescent="0.3">
      <c r="A1" s="76" t="s">
        <v>128</v>
      </c>
      <c r="B1" s="76" t="s">
        <v>3</v>
      </c>
    </row>
    <row r="2" spans="1:2" x14ac:dyDescent="0.3">
      <c r="A2" s="77" t="s">
        <v>59</v>
      </c>
      <c r="B2" s="84">
        <v>28000</v>
      </c>
    </row>
    <row r="3" spans="1:2" x14ac:dyDescent="0.3">
      <c r="A3" s="77" t="s">
        <v>200</v>
      </c>
      <c r="B3" s="84">
        <v>34000</v>
      </c>
    </row>
    <row r="4" spans="1:2" x14ac:dyDescent="0.3">
      <c r="A4" s="77" t="s">
        <v>201</v>
      </c>
      <c r="B4" s="84">
        <v>51000</v>
      </c>
    </row>
    <row r="5" spans="1:2" x14ac:dyDescent="0.3">
      <c r="A5" s="77" t="s">
        <v>202</v>
      </c>
      <c r="B5" s="84">
        <v>47000</v>
      </c>
    </row>
    <row r="6" spans="1:2" x14ac:dyDescent="0.3">
      <c r="A6" s="77" t="s">
        <v>203</v>
      </c>
      <c r="B6" s="84">
        <v>29000</v>
      </c>
    </row>
    <row r="7" spans="1:2" x14ac:dyDescent="0.3">
      <c r="A7" s="77" t="s">
        <v>204</v>
      </c>
      <c r="B7" s="84">
        <v>36000</v>
      </c>
    </row>
    <row r="8" spans="1:2" x14ac:dyDescent="0.3">
      <c r="A8" s="77" t="s">
        <v>131</v>
      </c>
      <c r="B8" s="84">
        <v>42000</v>
      </c>
    </row>
    <row r="9" spans="1:2" x14ac:dyDescent="0.3">
      <c r="A9" s="77" t="s">
        <v>130</v>
      </c>
      <c r="B9" s="84">
        <v>55000</v>
      </c>
    </row>
    <row r="10" spans="1:2" x14ac:dyDescent="0.3">
      <c r="A10" s="77" t="s">
        <v>129</v>
      </c>
      <c r="B10" s="84">
        <v>31000</v>
      </c>
    </row>
    <row r="11" spans="1:2" x14ac:dyDescent="0.3">
      <c r="A11" s="77" t="s">
        <v>132</v>
      </c>
      <c r="B11" s="84">
        <v>46000</v>
      </c>
    </row>
    <row r="12" spans="1:2" x14ac:dyDescent="0.3">
      <c r="A12" s="77" t="s">
        <v>133</v>
      </c>
      <c r="B12" s="84">
        <v>33000</v>
      </c>
    </row>
    <row r="13" spans="1:2" x14ac:dyDescent="0.3">
      <c r="A13" s="77" t="s">
        <v>96</v>
      </c>
      <c r="B13" s="84">
        <v>39000</v>
      </c>
    </row>
    <row r="14" spans="1:2" x14ac:dyDescent="0.3">
      <c r="A14" s="77" t="s">
        <v>98</v>
      </c>
      <c r="B14" s="84">
        <v>52000</v>
      </c>
    </row>
    <row r="15" spans="1:2" x14ac:dyDescent="0.3">
      <c r="A15" s="77" t="s">
        <v>134</v>
      </c>
      <c r="B15" s="84">
        <v>37000</v>
      </c>
    </row>
    <row r="16" spans="1:2" x14ac:dyDescent="0.3">
      <c r="A16" s="77" t="s">
        <v>86</v>
      </c>
      <c r="B16" s="84">
        <v>44000</v>
      </c>
    </row>
    <row r="17" spans="1:2" x14ac:dyDescent="0.3">
      <c r="A17" s="77" t="s">
        <v>61</v>
      </c>
      <c r="B17" s="84">
        <v>60000</v>
      </c>
    </row>
    <row r="18" spans="1:2" x14ac:dyDescent="0.3">
      <c r="A18" s="77" t="s">
        <v>99</v>
      </c>
      <c r="B18" s="84">
        <v>35000</v>
      </c>
    </row>
    <row r="19" spans="1:2" x14ac:dyDescent="0.3">
      <c r="A19" s="77" t="s">
        <v>101</v>
      </c>
      <c r="B19" s="84">
        <v>48000</v>
      </c>
    </row>
    <row r="20" spans="1:2" x14ac:dyDescent="0.3">
      <c r="A20" s="77" t="s">
        <v>91</v>
      </c>
      <c r="B20" s="84">
        <v>41000</v>
      </c>
    </row>
    <row r="21" spans="1:2" x14ac:dyDescent="0.3">
      <c r="A21" s="77" t="s">
        <v>94</v>
      </c>
      <c r="B21" s="84">
        <v>57000</v>
      </c>
    </row>
  </sheetData>
  <conditionalFormatting sqref="B2:B21">
    <cfRule type="cellIs" dxfId="8" priority="1" operator="lessThan">
      <formula>30000</formula>
    </cfRule>
    <cfRule type="cellIs" dxfId="7" priority="2" operator="between">
      <formula>30000</formula>
      <formula>49999</formula>
    </cfRule>
    <cfRule type="cellIs" dxfId="6" priority="3" operator="greaterThanOrEqual">
      <formula>50000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EmployeeSheet</vt:lpstr>
      <vt:lpstr>Monthly Sales Report</vt:lpstr>
      <vt:lpstr>Student Marks Sheet</vt:lpstr>
      <vt:lpstr>Sales Summary</vt:lpstr>
      <vt:lpstr>Salary Analysis</vt:lpstr>
      <vt:lpstr>Attendance Sheet</vt:lpstr>
      <vt:lpstr>Sales Count</vt:lpstr>
      <vt:lpstr>Sales Formatting</vt:lpstr>
      <vt:lpstr>Student Result</vt:lpstr>
      <vt:lpstr>Salary Band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ASDC3</dc:creator>
  <cp:lastModifiedBy>ROHIT RAJPUT</cp:lastModifiedBy>
  <dcterms:created xsi:type="dcterms:W3CDTF">2026-04-19T23:24:04Z</dcterms:created>
  <dcterms:modified xsi:type="dcterms:W3CDTF">2026-04-21T07:07:49Z</dcterms:modified>
</cp:coreProperties>
</file>