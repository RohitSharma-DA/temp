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65598693-DA08-4220-AA9A-95F1E97D34F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structions" sheetId="1" r:id="rId1"/>
    <sheet name="Pivots" sheetId="7" r:id="rId2"/>
    <sheet name="Sales_Data" sheetId="2" r:id="rId3"/>
    <sheet name="Product_Master" sheetId="3" r:id="rId4"/>
    <sheet name="Student_Marks" sheetId="4" r:id="rId5"/>
    <sheet name="Questions" sheetId="5" r:id="rId6"/>
    <sheet name="Answers" sheetId="6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2" l="1" a="1"/>
  <c r="J23" i="2" s="1"/>
  <c r="H9" i="2"/>
  <c r="H10" i="2"/>
  <c r="H11" i="2"/>
  <c r="A26" i="2" a="1"/>
  <c r="A26" i="2" s="1"/>
  <c r="I2" i="6" a="1"/>
  <c r="I2" i="6" s="1"/>
  <c r="O3" i="2"/>
  <c r="O4" i="2"/>
  <c r="O5" i="2"/>
  <c r="O6" i="2"/>
  <c r="O7" i="2"/>
  <c r="O2" i="2"/>
  <c r="H12" i="2"/>
  <c r="N3" i="2"/>
  <c r="N4" i="2"/>
  <c r="N5" i="2"/>
  <c r="N6" i="2"/>
  <c r="N7" i="2"/>
  <c r="N2" i="2"/>
  <c r="I3" i="4"/>
  <c r="I4" i="4"/>
  <c r="I5" i="4"/>
  <c r="I6" i="4"/>
  <c r="I2" i="4"/>
  <c r="E12" i="4"/>
  <c r="E11" i="4"/>
  <c r="H3" i="4"/>
  <c r="H4" i="4"/>
  <c r="H5" i="4"/>
  <c r="H6" i="4"/>
  <c r="H2" i="4"/>
  <c r="E10" i="4"/>
  <c r="E9" i="4"/>
  <c r="M3" i="2"/>
  <c r="M4" i="2"/>
  <c r="M5" i="2"/>
  <c r="M6" i="2"/>
  <c r="M7" i="2"/>
  <c r="M2" i="2"/>
  <c r="L4" i="2"/>
  <c r="L6" i="2"/>
  <c r="L7" i="2"/>
  <c r="L5" i="2"/>
  <c r="L3" i="2"/>
  <c r="L2" i="2"/>
  <c r="K4" i="2"/>
  <c r="K6" i="2"/>
  <c r="K7" i="2"/>
  <c r="K5" i="2"/>
  <c r="K3" i="2"/>
  <c r="K2" i="2"/>
  <c r="H4" i="2"/>
  <c r="I4" i="2" s="1"/>
  <c r="J4" i="2" s="1"/>
  <c r="H6" i="2"/>
  <c r="I6" i="2" s="1"/>
  <c r="J6" i="2" s="1"/>
  <c r="N16" i="2" s="1"/>
  <c r="H7" i="2"/>
  <c r="I7" i="2" s="1"/>
  <c r="J7" i="2" s="1"/>
  <c r="N17" i="2" s="1"/>
  <c r="H5" i="2"/>
  <c r="I5" i="2" s="1"/>
  <c r="J5" i="2" s="1"/>
  <c r="H3" i="2"/>
  <c r="I3" i="2" s="1"/>
  <c r="J3" i="2" s="1"/>
  <c r="H2" i="2"/>
  <c r="I2" i="2" s="1"/>
  <c r="J2" i="2" s="1"/>
  <c r="G3" i="4"/>
  <c r="G4" i="4"/>
  <c r="G5" i="4"/>
  <c r="G6" i="4"/>
  <c r="G2" i="4"/>
  <c r="J32" i="5"/>
  <c r="A14" i="2" l="1" a="1"/>
  <c r="A14" i="2" s="1"/>
  <c r="N14" i="2"/>
  <c r="H8" i="2"/>
  <c r="N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<sst xmlns="http://schemas.openxmlformats.org/spreadsheetml/2006/main" count="165" uniqueCount="110">
  <si>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</si>
  <si>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</si>
  <si>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</si>
  <si>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</si>
  <si>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</si>
  <si>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</si>
  <si>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</si>
  <si>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</si>
  <si>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</si>
  <si>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</si>
  <si>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</si>
  <si>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</si>
  <si>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</si>
  <si>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</si>
  <si>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</si>
  <si>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</si>
  <si>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</si>
  <si>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</si>
  <si>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</si>
  <si>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</si>
  <si>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</si>
  <si>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</si>
  <si>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</si>
  <si>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</si>
  <si>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</si>
  <si>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</si>
  <si>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</si>
  <si>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</si>
  <si>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</si>
  <si>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</si>
  <si>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</si>
  <si>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</si>
  <si>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</si>
  <si>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</si>
  <si>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</si>
  <si>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</si>
  <si>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</si>
  <si>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</si>
  <si>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</si>
  <si>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</si>
  <si>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</si>
  <si>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</si>
  <si>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</si>
  <si>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</si>
  <si>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</si>
  <si>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</si>
  <si>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</si>
  <si>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</si>
  <si>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</si>
  <si>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</si>
  <si>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</si>
  <si>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</si>
  <si>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</si>
  <si>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</si>
  <si>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</si>
  <si>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</si>
  <si>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</si>
  <si>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</si>
  <si>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</si>
  <si>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</si>
  <si>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</si>
  <si>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</si>
  <si>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</si>
  <si>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</si>
  <si>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</si>
  <si>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</si>
  <si>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</si>
  <si>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</si>
  <si>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</si>
  <si>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</si>
  <si>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</si>
  <si>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</si>
  <si>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AverageMarks</t>
  </si>
  <si>
    <t>Sales_Amount</t>
  </si>
  <si>
    <t>GST_Amount</t>
  </si>
  <si>
    <t>TotalP_Amount</t>
  </si>
  <si>
    <t>Grand Total:</t>
  </si>
  <si>
    <t>Total Orders:</t>
  </si>
  <si>
    <t>Region-wise Total Sales</t>
  </si>
  <si>
    <t>Volume</t>
  </si>
  <si>
    <t>Max Total Amount:</t>
  </si>
  <si>
    <t>Min Total Amount:</t>
  </si>
  <si>
    <t>Month</t>
  </si>
  <si>
    <t>Topper:</t>
  </si>
  <si>
    <t>Students with &gt;90% attendence</t>
  </si>
  <si>
    <t>Eligibility</t>
  </si>
  <si>
    <t>Median for Statistics Marks</t>
  </si>
  <si>
    <t>Standard Deviation for Excel Marks</t>
  </si>
  <si>
    <t>Student_code</t>
  </si>
  <si>
    <t>Left2Letters</t>
  </si>
  <si>
    <t>No. of Orders in North</t>
  </si>
  <si>
    <t>RoundUnit</t>
  </si>
  <si>
    <t>Sort Function</t>
  </si>
  <si>
    <t>Row Labels</t>
  </si>
  <si>
    <t>Grand Total</t>
  </si>
  <si>
    <t>Sum of TotalP_Amount</t>
  </si>
  <si>
    <t>Products</t>
  </si>
  <si>
    <t>Regions</t>
  </si>
  <si>
    <t>Sum of Maths</t>
  </si>
  <si>
    <t>Sum of Statistics</t>
  </si>
  <si>
    <t>Sum of Excel</t>
  </si>
  <si>
    <t>Remove Duplicates</t>
  </si>
  <si>
    <t>"=&gt;"</t>
  </si>
  <si>
    <t xml:space="preserve">Filter </t>
  </si>
  <si>
    <t>4,5,8</t>
  </si>
  <si>
    <t>13,14,20,21</t>
  </si>
  <si>
    <t>12,15,22</t>
  </si>
  <si>
    <t>1,2,3,7,9,11 23,24,27</t>
  </si>
  <si>
    <t>Removed Duplicates</t>
  </si>
  <si>
    <t>29,30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</si>
</sst>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4" borderId="0" xfId="0" applyFont="1" applyFill="1"/>
    <xf numFmtId="0" fontId="1" fillId="4" borderId="1" xfId="0" applyFont="1" applyFill="1" applyBorder="1"/>
    <xf numFmtId="0" fontId="0" fillId="2" borderId="1" xfId="0" applyFill="1" applyBorder="1"/>
    <xf numFmtId="0" fontId="0" fillId="6" borderId="1" xfId="0" applyFill="1" applyBorder="1"/>
    <xf numFmtId="0" fontId="3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8" borderId="0" xfId="0" applyFill="1"/>
    <xf numFmtId="0" fontId="3" fillId="9" borderId="1" xfId="0" applyFont="1" applyFill="1" applyBorder="1"/>
    <xf numFmtId="0" fontId="0" fillId="8" borderId="3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(3).xlsx]Pivots!PivotTable1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Products</a:t>
            </a:r>
            <a:endParaRPr lang="en-US"/>
          </a:p>
        </c:rich>
      </c:tx>
      <c:layout>
        <c:manualLayout>
          <c:xMode val="edge"/>
          <c:yMode val="edge"/>
          <c:x val="0.21130926815966186"/>
          <c:y val="5.0955414012738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Pivots!$B$4:$B$7</c:f>
              <c:numCache>
                <c:formatCode>General</c:formatCode>
                <c:ptCount val="3"/>
                <c:pt idx="0">
                  <c:v>265500</c:v>
                </c:pt>
                <c:pt idx="1">
                  <c:v>151200</c:v>
                </c:pt>
                <c:pt idx="2">
                  <c:v>60480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D-40C1-95B5-35DFA03F5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520479"/>
        <c:axId val="951537535"/>
      </c:barChart>
      <c:catAx>
        <c:axId val="95152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537535"/>
        <c:crosses val="autoZero"/>
        <c:auto val="1"/>
        <c:lblAlgn val="ctr"/>
        <c:lblOffset val="100"/>
        <c:noMultiLvlLbl val="0"/>
      </c:catAx>
      <c:valAx>
        <c:axId val="9515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52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(3).xlsx]Pivots!PivotTable3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Pivots!$B$11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Pivots!$A$12:$A$17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Pivots!$B$12:$B$17</c:f>
              <c:numCache>
                <c:formatCode>General</c:formatCode>
                <c:ptCount val="5"/>
                <c:pt idx="0">
                  <c:v>65</c:v>
                </c:pt>
                <c:pt idx="1">
                  <c:v>92</c:v>
                </c:pt>
                <c:pt idx="2">
                  <c:v>78</c:v>
                </c:pt>
                <c:pt idx="3">
                  <c:v>88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E-4587-912E-D5099313CAFD}"/>
            </c:ext>
          </c:extLst>
        </c:ser>
        <c:ser>
          <c:idx val="1"/>
          <c:order val="1"/>
          <c:tx>
            <c:strRef>
              <c:f>Pivots!$C$11</c:f>
              <c:strCache>
                <c:ptCount val="1"/>
                <c:pt idx="0">
                  <c:v>Sum of Statistics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Pivots!$A$12:$A$17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Pivots!$C$12:$C$17</c:f>
              <c:numCache>
                <c:formatCode>General</c:formatCode>
                <c:ptCount val="5"/>
                <c:pt idx="0">
                  <c:v>70</c:v>
                </c:pt>
                <c:pt idx="1">
                  <c:v>89</c:v>
                </c:pt>
                <c:pt idx="2">
                  <c:v>82</c:v>
                </c:pt>
                <c:pt idx="3">
                  <c:v>91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E-4587-912E-D5099313CAFD}"/>
            </c:ext>
          </c:extLst>
        </c:ser>
        <c:ser>
          <c:idx val="2"/>
          <c:order val="2"/>
          <c:tx>
            <c:strRef>
              <c:f>Pivots!$D$11</c:f>
              <c:strCache>
                <c:ptCount val="1"/>
                <c:pt idx="0">
                  <c:v>Sum of Excel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Pivots!$A$12:$A$17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Pivots!$D$12:$D$17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E-4587-912E-D5099313C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1539615"/>
        <c:axId val="951543359"/>
      </c:barChart>
      <c:catAx>
        <c:axId val="951539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543359"/>
        <c:crosses val="autoZero"/>
        <c:auto val="1"/>
        <c:lblAlgn val="ctr"/>
        <c:lblOffset val="100"/>
        <c:noMultiLvlLbl val="0"/>
      </c:catAx>
      <c:valAx>
        <c:axId val="95154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53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0</xdr:row>
      <xdr:rowOff>180975</xdr:rowOff>
    </xdr:from>
    <xdr:to>
      <xdr:col>13</xdr:col>
      <xdr:colOff>609599</xdr:colOff>
      <xdr:row>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6FD78-1BAE-BFF1-BB3C-B7C1ADE62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581025</xdr:colOff>
      <xdr:row>11</xdr:row>
      <xdr:rowOff>0</xdr:rowOff>
    </xdr:from>
    <xdr:to>
      <xdr:col>14</xdr:col>
      <xdr:colOff>9525</xdr:colOff>
      <xdr:row>20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D95DB9-296E-83F6-DE44-BFC2D842B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5" refreshedDate="46166.677273842593" createdVersion="8" refreshedVersion="8" minRefreshableVersion="3" recordCount="6" xr:uid="{BB99BC82-6821-491F-A245-658126B68816}">
  <cacheSource type="worksheet">
    <worksheetSource ref="A1:O7" sheet="Sales_Data"/>
  </cacheSource>
  <cacheFields count="15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Sales_Amount" numFmtId="0">
      <sharedItems containsSemiMixedTypes="0" containsString="0" containsNumber="1" containsInteger="1" minValue="45000" maxValue="90000"/>
    </cacheField>
    <cacheField name="GST_Amount" numFmtId="0">
      <sharedItems containsSemiMixedTypes="0" containsString="0" containsNumber="1" containsInteger="1" minValue="6480" maxValue="16200"/>
    </cacheField>
    <cacheField name="TotalP_Amount" numFmtId="0">
      <sharedItems containsSemiMixedTypes="0" containsString="0" containsNumber="1" containsInteger="1" minValue="53100" maxValue="106200"/>
    </cacheField>
    <cacheField name="Volume" numFmtId="0">
      <sharedItems/>
    </cacheField>
    <cacheField name="Month" numFmtId="0">
      <sharedItems/>
    </cacheField>
    <cacheField name="Category" numFmtId="0">
      <sharedItems/>
    </cacheField>
    <cacheField name="Left2Letters" numFmtId="0">
      <sharedItems/>
    </cacheField>
    <cacheField name="RoundUnit" numFmtId="0">
      <sharedItems containsSemiMixedTypes="0" containsString="0" containsNumber="1" containsInteger="1" minValue="15000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5" refreshedDate="46166.680477662034" createdVersion="8" refreshedVersion="8" minRefreshableVersion="3" recordCount="5" xr:uid="{31A267F4-396C-442D-A51C-6A3D2DFEB2B7}">
  <cacheSource type="worksheet">
    <worksheetSource ref="B1:E6" sheet="Student_Marks"/>
  </cacheSource>
  <cacheFields count="4"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90000"/>
    <n v="16200"/>
    <n v="106200"/>
    <s v="Low"/>
    <s v="January"/>
    <s v="Electronics"/>
    <s v="Am"/>
    <n v="45000"/>
  </r>
  <r>
    <n v="306"/>
    <x v="1"/>
    <s v="Riya"/>
    <x v="0"/>
    <n v="2"/>
    <n v="45000"/>
    <s v="18-01-2025"/>
    <n v="90000"/>
    <n v="16200"/>
    <n v="106200"/>
    <s v="Low"/>
    <s v="January"/>
    <s v="Electronics"/>
    <s v="Ri"/>
    <n v="45000"/>
  </r>
  <r>
    <n v="302"/>
    <x v="1"/>
    <s v="Riya"/>
    <x v="1"/>
    <n v="5"/>
    <n v="15000"/>
    <s v="07-01-2025"/>
    <n v="75000"/>
    <n v="9000"/>
    <n v="84000"/>
    <s v="High"/>
    <s v="January"/>
    <s v="Electronics"/>
    <s v="Ri"/>
    <n v="15000"/>
  </r>
  <r>
    <n v="305"/>
    <x v="0"/>
    <s v="Amit"/>
    <x v="1"/>
    <n v="4"/>
    <n v="15000"/>
    <s v="15-01-2025"/>
    <n v="60000"/>
    <n v="7200"/>
    <n v="67200"/>
    <s v="High"/>
    <s v="January"/>
    <s v="Electronics"/>
    <s v="Am"/>
    <n v="15000"/>
  </r>
  <r>
    <n v="303"/>
    <x v="2"/>
    <s v="Kunal"/>
    <x v="2"/>
    <n v="3"/>
    <n v="18000"/>
    <s v="10-01-2025"/>
    <n v="54000"/>
    <n v="6480"/>
    <n v="60480"/>
    <s v="Low"/>
    <s v="January"/>
    <s v="Electronics"/>
    <s v="Ku"/>
    <n v="18000"/>
  </r>
  <r>
    <n v="304"/>
    <x v="3"/>
    <s v="Neha"/>
    <x v="0"/>
    <n v="1"/>
    <n v="45000"/>
    <s v="12-01-2025"/>
    <n v="45000"/>
    <n v="8100"/>
    <n v="53100"/>
    <s v="Low"/>
    <s v="January"/>
    <s v="Electronics"/>
    <s v="Ne"/>
    <n v="45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78"/>
    <n v="82"/>
    <n v="85"/>
  </r>
  <r>
    <x v="1"/>
    <n v="88"/>
    <n v="91"/>
    <n v="90"/>
  </r>
  <r>
    <x v="2"/>
    <n v="65"/>
    <n v="70"/>
    <n v="72"/>
  </r>
  <r>
    <x v="3"/>
    <n v="92"/>
    <n v="89"/>
    <n v="94"/>
  </r>
  <r>
    <x v="4"/>
    <n v="55"/>
    <n v="60"/>
    <n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93F6E-C65C-408C-99DF-B1E454D7B4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s">
  <location ref="A3:B7" firstHeaderRow="1" firstDataRow="1" firstDataCol="1"/>
  <pivotFields count="15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_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33AAA-7855-4E00-8A72-19FE4AD5DF3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:D17" firstHeaderRow="0" firstDataRow="1" firstDataCol="1"/>
  <pivotFields count="4">
    <pivotField axis="axisRow" showAll="0">
      <items count="6">
        <item x="2"/>
        <item x="3"/>
        <item x="0"/>
        <item x="1"/>
        <item x="4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ths" fld="1" baseField="0" baseItem="0"/>
    <dataField name="Sum of Statistics" fld="2" baseField="0" baseItem="0"/>
    <dataField name="Sum of Excel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88657-8DFE-4E82-8766-7CDC040916D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D3:E8" firstHeaderRow="1" firstDataRow="1" firstDataCol="1"/>
  <pivotFields count="15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4.4" x14ac:dyDescent="0.3"/>
  <sheetData>
    <row r="1" spans="1:1" x14ac:dyDescent="0.3">
      <c r="A1" t="s">
        <v>71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3976-0862-4AE9-A7E9-C45319424D98}">
  <dimension ref="A3:P17"/>
  <sheetViews>
    <sheetView workbookViewId="0">
      <selection activeCell="C6" sqref="C6"/>
    </sheetView>
  </sheetViews>
  <sheetFormatPr defaultRowHeight="14.4" x14ac:dyDescent="0.3"/>
  <cols>
    <col min="1" max="1" width="12.5546875" bestFit="1" customWidth="1"/>
    <col min="2" max="2" width="20.88671875" bestFit="1" customWidth="1"/>
    <col min="3" max="3" width="14.88671875" bestFit="1" customWidth="1"/>
    <col min="4" max="4" width="11.6640625" bestFit="1" customWidth="1"/>
    <col min="5" max="5" width="20.88671875" bestFit="1" customWidth="1"/>
  </cols>
  <sheetData>
    <row r="3" spans="1:16" x14ac:dyDescent="0.3">
      <c r="A3" s="6" t="s">
        <v>96</v>
      </c>
      <c r="B3" t="s">
        <v>95</v>
      </c>
      <c r="D3" s="6" t="s">
        <v>97</v>
      </c>
      <c r="E3" t="s">
        <v>95</v>
      </c>
    </row>
    <row r="4" spans="1:16" x14ac:dyDescent="0.3">
      <c r="A4" s="7" t="s">
        <v>13</v>
      </c>
      <c r="B4">
        <v>265500</v>
      </c>
      <c r="D4" s="7" t="s">
        <v>19</v>
      </c>
      <c r="E4">
        <v>60480</v>
      </c>
    </row>
    <row r="5" spans="1:16" x14ac:dyDescent="0.3">
      <c r="A5" s="7" t="s">
        <v>17</v>
      </c>
      <c r="B5">
        <v>151200</v>
      </c>
      <c r="D5" s="7" t="s">
        <v>11</v>
      </c>
      <c r="E5">
        <v>173400</v>
      </c>
    </row>
    <row r="6" spans="1:16" x14ac:dyDescent="0.3">
      <c r="A6" s="7" t="s">
        <v>21</v>
      </c>
      <c r="B6">
        <v>60480</v>
      </c>
      <c r="C6" s="11">
        <v>16</v>
      </c>
      <c r="D6" s="7" t="s">
        <v>15</v>
      </c>
      <c r="E6">
        <v>190200</v>
      </c>
      <c r="F6" s="11">
        <v>17</v>
      </c>
    </row>
    <row r="7" spans="1:16" x14ac:dyDescent="0.3">
      <c r="A7" s="7" t="s">
        <v>94</v>
      </c>
      <c r="B7">
        <v>477180</v>
      </c>
      <c r="D7" s="7" t="s">
        <v>23</v>
      </c>
      <c r="E7">
        <v>53100</v>
      </c>
    </row>
    <row r="8" spans="1:16" x14ac:dyDescent="0.3">
      <c r="D8" s="7" t="s">
        <v>94</v>
      </c>
      <c r="E8">
        <v>477180</v>
      </c>
    </row>
    <row r="11" spans="1:16" x14ac:dyDescent="0.3">
      <c r="A11" s="6" t="s">
        <v>93</v>
      </c>
      <c r="B11" t="s">
        <v>98</v>
      </c>
      <c r="C11" t="s">
        <v>99</v>
      </c>
      <c r="D11" t="s">
        <v>100</v>
      </c>
    </row>
    <row r="12" spans="1:16" x14ac:dyDescent="0.3">
      <c r="A12" s="7" t="s">
        <v>38</v>
      </c>
      <c r="B12">
        <v>65</v>
      </c>
      <c r="C12">
        <v>70</v>
      </c>
      <c r="D12">
        <v>72</v>
      </c>
    </row>
    <row r="13" spans="1:16" x14ac:dyDescent="0.3">
      <c r="A13" s="7" t="s">
        <v>39</v>
      </c>
      <c r="B13">
        <v>92</v>
      </c>
      <c r="C13">
        <v>89</v>
      </c>
      <c r="D13">
        <v>94</v>
      </c>
      <c r="P13" s="11">
        <v>19</v>
      </c>
    </row>
    <row r="14" spans="1:16" x14ac:dyDescent="0.3">
      <c r="A14" s="7" t="s">
        <v>36</v>
      </c>
      <c r="B14">
        <v>78</v>
      </c>
      <c r="C14">
        <v>82</v>
      </c>
      <c r="D14">
        <v>85</v>
      </c>
    </row>
    <row r="15" spans="1:16" x14ac:dyDescent="0.3">
      <c r="A15" s="7" t="s">
        <v>37</v>
      </c>
      <c r="B15">
        <v>88</v>
      </c>
      <c r="C15">
        <v>91</v>
      </c>
      <c r="D15">
        <v>90</v>
      </c>
    </row>
    <row r="16" spans="1:16" x14ac:dyDescent="0.3">
      <c r="A16" s="7" t="s">
        <v>40</v>
      </c>
      <c r="B16">
        <v>55</v>
      </c>
      <c r="C16">
        <v>60</v>
      </c>
      <c r="D16">
        <v>58</v>
      </c>
      <c r="E16" s="11">
        <v>18</v>
      </c>
    </row>
    <row r="17" spans="1:4" x14ac:dyDescent="0.3">
      <c r="A17" s="7" t="s">
        <v>94</v>
      </c>
      <c r="B17">
        <v>378</v>
      </c>
      <c r="C17">
        <v>392</v>
      </c>
      <c r="D17">
        <v>399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workbookViewId="0">
      <selection activeCell="R24" sqref="R24"/>
    </sheetView>
  </sheetViews>
  <sheetFormatPr defaultRowHeight="14.4" x14ac:dyDescent="0.3"/>
  <cols>
    <col min="1" max="1" width="9" bestFit="1" customWidth="1"/>
    <col min="2" max="2" width="7.109375" bestFit="1" customWidth="1"/>
    <col min="3" max="3" width="11.6640625" bestFit="1" customWidth="1"/>
    <col min="4" max="4" width="7.88671875" bestFit="1" customWidth="1"/>
    <col min="5" max="5" width="8.6640625" bestFit="1" customWidth="1"/>
    <col min="6" max="6" width="10.109375" bestFit="1" customWidth="1"/>
    <col min="7" max="7" width="10.6640625" bestFit="1" customWidth="1"/>
    <col min="8" max="8" width="13.88671875" bestFit="1" customWidth="1"/>
    <col min="9" max="9" width="12.44140625" bestFit="1" customWidth="1"/>
    <col min="10" max="10" width="14.88671875" bestFit="1" customWidth="1"/>
  </cols>
  <sheetData>
    <row r="1" spans="1:18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73</v>
      </c>
      <c r="I1" s="2" t="s">
        <v>74</v>
      </c>
      <c r="J1" s="2" t="s">
        <v>75</v>
      </c>
      <c r="K1" s="2" t="s">
        <v>79</v>
      </c>
      <c r="L1" s="2" t="s">
        <v>82</v>
      </c>
      <c r="M1" s="2" t="s">
        <v>27</v>
      </c>
      <c r="N1" s="2" t="s">
        <v>89</v>
      </c>
      <c r="O1" s="2" t="s">
        <v>91</v>
      </c>
    </row>
    <row r="2" spans="1:18" x14ac:dyDescent="0.3">
      <c r="A2" s="9">
        <v>301</v>
      </c>
      <c r="B2" s="9" t="s">
        <v>11</v>
      </c>
      <c r="C2" s="9" t="s">
        <v>12</v>
      </c>
      <c r="D2" s="9" t="s">
        <v>13</v>
      </c>
      <c r="E2" s="9">
        <v>2</v>
      </c>
      <c r="F2" s="9">
        <v>45000</v>
      </c>
      <c r="G2" s="9" t="s">
        <v>14</v>
      </c>
      <c r="H2" s="3">
        <f t="shared" ref="H2:H7" si="0">E2*F2</f>
        <v>90000</v>
      </c>
      <c r="I2" s="3">
        <f>VLOOKUP(D2,Product_Master!$A$2:$C$4,3,0)*H2/100</f>
        <v>16200</v>
      </c>
      <c r="J2" s="3">
        <f t="shared" ref="J2:J7" si="1">H2+I2</f>
        <v>106200</v>
      </c>
      <c r="K2" s="3" t="str">
        <f t="shared" ref="K2:K7" si="2">IF(E2&gt;3,"High","Low")</f>
        <v>Low</v>
      </c>
      <c r="L2" s="3" t="str">
        <f t="shared" ref="L2:L7" si="3">TEXT(G2,"mmmm")</f>
        <v>January</v>
      </c>
      <c r="M2" s="3" t="str">
        <f>INDEX(Product_Master!$A$2:$C$4,MATCH(D2,Product_Master!$A$2:$A$4,0),2)</f>
        <v>Electronics</v>
      </c>
      <c r="N2" s="3" t="str">
        <f>LEFT(C2,2)</f>
        <v>Am</v>
      </c>
      <c r="O2" s="3">
        <f>ROUND(F2,1)</f>
        <v>45000</v>
      </c>
    </row>
    <row r="3" spans="1:18" x14ac:dyDescent="0.3">
      <c r="A3" s="9">
        <v>306</v>
      </c>
      <c r="B3" s="9" t="s">
        <v>15</v>
      </c>
      <c r="C3" s="9" t="s">
        <v>16</v>
      </c>
      <c r="D3" s="9" t="s">
        <v>13</v>
      </c>
      <c r="E3" s="9">
        <v>2</v>
      </c>
      <c r="F3" s="9">
        <v>45000</v>
      </c>
      <c r="G3" s="9" t="s">
        <v>26</v>
      </c>
      <c r="H3" s="3">
        <f t="shared" si="0"/>
        <v>90000</v>
      </c>
      <c r="I3" s="3">
        <f>VLOOKUP(D3,Product_Master!$A$2:$C$4,3,0)*H3/100</f>
        <v>16200</v>
      </c>
      <c r="J3" s="3">
        <f t="shared" si="1"/>
        <v>106200</v>
      </c>
      <c r="K3" s="3" t="str">
        <f t="shared" si="2"/>
        <v>Low</v>
      </c>
      <c r="L3" s="3" t="str">
        <f t="shared" si="3"/>
        <v>January</v>
      </c>
      <c r="M3" s="3" t="str">
        <f>INDEX(Product_Master!$A$2:$C$4,MATCH(D3,Product_Master!$A$2:$A$4,0),2)</f>
        <v>Electronics</v>
      </c>
      <c r="N3" s="3" t="str">
        <f t="shared" ref="N3:N7" si="4">LEFT(C3,2)</f>
        <v>Ri</v>
      </c>
      <c r="O3" s="3">
        <f t="shared" ref="O3:O7" si="5">ROUND(F3,1)</f>
        <v>45000</v>
      </c>
      <c r="P3" s="13" t="s">
        <v>107</v>
      </c>
      <c r="Q3" s="14"/>
      <c r="R3" s="14"/>
    </row>
    <row r="4" spans="1:18" x14ac:dyDescent="0.3">
      <c r="A4" s="9">
        <v>302</v>
      </c>
      <c r="B4" s="9" t="s">
        <v>15</v>
      </c>
      <c r="C4" s="9" t="s">
        <v>16</v>
      </c>
      <c r="D4" s="9" t="s">
        <v>17</v>
      </c>
      <c r="E4" s="9">
        <v>5</v>
      </c>
      <c r="F4" s="9">
        <v>15000</v>
      </c>
      <c r="G4" s="9" t="s">
        <v>18</v>
      </c>
      <c r="H4" s="3">
        <f t="shared" si="0"/>
        <v>75000</v>
      </c>
      <c r="I4" s="3">
        <f>VLOOKUP(D4,Product_Master!$A$2:$C$4,3,0)*H4/100</f>
        <v>9000</v>
      </c>
      <c r="J4" s="3">
        <f t="shared" si="1"/>
        <v>84000</v>
      </c>
      <c r="K4" s="3" t="str">
        <f t="shared" si="2"/>
        <v>High</v>
      </c>
      <c r="L4" s="3" t="str">
        <f t="shared" si="3"/>
        <v>January</v>
      </c>
      <c r="M4" s="3" t="str">
        <f>INDEX(Product_Master!$A$2:$C$4,MATCH(D4,Product_Master!$A$2:$A$4,0),2)</f>
        <v>Electronics</v>
      </c>
      <c r="N4" s="3" t="str">
        <f t="shared" si="4"/>
        <v>Ri</v>
      </c>
      <c r="O4" s="3">
        <f t="shared" si="5"/>
        <v>15000</v>
      </c>
    </row>
    <row r="5" spans="1:18" x14ac:dyDescent="0.3">
      <c r="A5" s="9">
        <v>305</v>
      </c>
      <c r="B5" s="9" t="s">
        <v>11</v>
      </c>
      <c r="C5" s="9" t="s">
        <v>12</v>
      </c>
      <c r="D5" s="9" t="s">
        <v>17</v>
      </c>
      <c r="E5" s="9">
        <v>4</v>
      </c>
      <c r="F5" s="9">
        <v>15000</v>
      </c>
      <c r="G5" s="9" t="s">
        <v>25</v>
      </c>
      <c r="H5" s="3">
        <f t="shared" si="0"/>
        <v>60000</v>
      </c>
      <c r="I5" s="3">
        <f>VLOOKUP(D5,Product_Master!$A$2:$C$4,3,0)*H5/100</f>
        <v>7200</v>
      </c>
      <c r="J5" s="3">
        <f t="shared" si="1"/>
        <v>67200</v>
      </c>
      <c r="K5" s="3" t="str">
        <f t="shared" si="2"/>
        <v>High</v>
      </c>
      <c r="L5" s="3" t="str">
        <f t="shared" si="3"/>
        <v>January</v>
      </c>
      <c r="M5" s="3" t="str">
        <f>INDEX(Product_Master!$A$2:$C$4,MATCH(D5,Product_Master!$A$2:$A$4,0),2)</f>
        <v>Electronics</v>
      </c>
      <c r="N5" s="3" t="str">
        <f t="shared" si="4"/>
        <v>Am</v>
      </c>
      <c r="O5" s="3">
        <f t="shared" si="5"/>
        <v>15000</v>
      </c>
    </row>
    <row r="6" spans="1:18" x14ac:dyDescent="0.3">
      <c r="A6" s="9">
        <v>303</v>
      </c>
      <c r="B6" s="9" t="s">
        <v>19</v>
      </c>
      <c r="C6" s="9" t="s">
        <v>20</v>
      </c>
      <c r="D6" s="9" t="s">
        <v>21</v>
      </c>
      <c r="E6" s="9">
        <v>3</v>
      </c>
      <c r="F6" s="9">
        <v>18000</v>
      </c>
      <c r="G6" s="9" t="s">
        <v>22</v>
      </c>
      <c r="H6" s="3">
        <f t="shared" si="0"/>
        <v>54000</v>
      </c>
      <c r="I6" s="3">
        <f>VLOOKUP(D6,Product_Master!$A$2:$C$4,3,0)*H6/100</f>
        <v>6480</v>
      </c>
      <c r="J6" s="3">
        <f t="shared" si="1"/>
        <v>60480</v>
      </c>
      <c r="K6" s="3" t="str">
        <f t="shared" si="2"/>
        <v>Low</v>
      </c>
      <c r="L6" s="3" t="str">
        <f t="shared" si="3"/>
        <v>January</v>
      </c>
      <c r="M6" s="3" t="str">
        <f>INDEX(Product_Master!$A$2:$C$4,MATCH(D6,Product_Master!$A$2:$A$4,0),2)</f>
        <v>Electronics</v>
      </c>
      <c r="N6" s="3" t="str">
        <f t="shared" si="4"/>
        <v>Ku</v>
      </c>
      <c r="O6" s="3">
        <f t="shared" si="5"/>
        <v>18000</v>
      </c>
    </row>
    <row r="7" spans="1:18" x14ac:dyDescent="0.3">
      <c r="A7" s="9">
        <v>304</v>
      </c>
      <c r="B7" s="9" t="s">
        <v>23</v>
      </c>
      <c r="C7" s="9" t="s">
        <v>24</v>
      </c>
      <c r="D7" s="9" t="s">
        <v>13</v>
      </c>
      <c r="E7" s="9">
        <v>1</v>
      </c>
      <c r="F7" s="9">
        <v>45000</v>
      </c>
      <c r="G7" s="10">
        <v>45669</v>
      </c>
      <c r="H7" s="3">
        <f t="shared" si="0"/>
        <v>45000</v>
      </c>
      <c r="I7" s="3">
        <f>VLOOKUP(D7,Product_Master!$A$2:$C$4,3,0)*H7/100</f>
        <v>8100</v>
      </c>
      <c r="J7" s="4">
        <f t="shared" si="1"/>
        <v>53100</v>
      </c>
      <c r="K7" s="3" t="str">
        <f t="shared" si="2"/>
        <v>Low</v>
      </c>
      <c r="L7" s="3" t="str">
        <f t="shared" si="3"/>
        <v>January</v>
      </c>
      <c r="M7" s="3" t="str">
        <f>INDEX(Product_Master!$A$2:$C$4,MATCH(D7,Product_Master!$A$2:$A$4,0),2)</f>
        <v>Electronics</v>
      </c>
      <c r="N7" s="3" t="str">
        <f t="shared" si="4"/>
        <v>Ne</v>
      </c>
      <c r="O7" s="3">
        <f t="shared" si="5"/>
        <v>45000</v>
      </c>
    </row>
    <row r="8" spans="1:18" x14ac:dyDescent="0.3">
      <c r="A8" s="20" t="s">
        <v>76</v>
      </c>
      <c r="B8" s="20"/>
      <c r="C8" s="20"/>
      <c r="D8" s="20"/>
      <c r="E8" s="20"/>
      <c r="F8" s="20"/>
      <c r="G8" s="20"/>
      <c r="H8" s="20">
        <f>SUM(J2:J7)</f>
        <v>477180</v>
      </c>
      <c r="I8" s="20"/>
      <c r="J8" s="20"/>
      <c r="K8" s="20"/>
      <c r="L8" s="20"/>
      <c r="M8" s="20"/>
      <c r="N8" s="20"/>
      <c r="O8" s="20"/>
      <c r="Q8" s="15" t="s">
        <v>104</v>
      </c>
      <c r="R8" s="15"/>
    </row>
    <row r="9" spans="1:18" x14ac:dyDescent="0.3">
      <c r="A9" s="20" t="s">
        <v>80</v>
      </c>
      <c r="B9" s="20"/>
      <c r="C9" s="20"/>
      <c r="D9" s="20"/>
      <c r="E9" s="20"/>
      <c r="F9" s="20"/>
      <c r="G9" s="20"/>
      <c r="H9" s="20">
        <f>MAX(J2:J7)</f>
        <v>106200</v>
      </c>
      <c r="I9" s="20"/>
      <c r="J9" s="20"/>
      <c r="K9" s="20"/>
      <c r="L9" s="20"/>
      <c r="M9" s="20"/>
      <c r="N9" s="20"/>
      <c r="O9" s="20"/>
      <c r="Q9" s="15"/>
      <c r="R9" s="15"/>
    </row>
    <row r="10" spans="1:18" x14ac:dyDescent="0.3">
      <c r="A10" s="20" t="s">
        <v>81</v>
      </c>
      <c r="B10" s="20"/>
      <c r="C10" s="20"/>
      <c r="D10" s="20"/>
      <c r="E10" s="20"/>
      <c r="F10" s="20"/>
      <c r="G10" s="20"/>
      <c r="H10" s="20">
        <f>MIN(J2:J7)</f>
        <v>53100</v>
      </c>
      <c r="I10" s="20"/>
      <c r="J10" s="20"/>
      <c r="K10" s="20"/>
      <c r="L10" s="20"/>
      <c r="M10" s="20"/>
      <c r="N10" s="20"/>
      <c r="O10" s="20"/>
      <c r="Q10" s="15"/>
      <c r="R10" s="15"/>
    </row>
    <row r="11" spans="1:18" x14ac:dyDescent="0.3">
      <c r="A11" s="20" t="s">
        <v>77</v>
      </c>
      <c r="B11" s="20"/>
      <c r="C11" s="20"/>
      <c r="D11" s="20"/>
      <c r="E11" s="20"/>
      <c r="F11" s="20"/>
      <c r="G11" s="20"/>
      <c r="H11" s="20">
        <f>COUNTA(A2:A7)</f>
        <v>6</v>
      </c>
      <c r="I11" s="20"/>
      <c r="J11" s="20"/>
      <c r="K11" s="20"/>
      <c r="L11" s="20"/>
      <c r="M11" s="20"/>
      <c r="N11" s="20"/>
      <c r="O11" s="20"/>
      <c r="Q11" s="15"/>
      <c r="R11" s="15"/>
    </row>
    <row r="12" spans="1:18" x14ac:dyDescent="0.3">
      <c r="A12" s="18" t="s">
        <v>90</v>
      </c>
      <c r="B12" s="18"/>
      <c r="C12" s="18"/>
      <c r="D12" s="18"/>
      <c r="E12" s="18"/>
      <c r="F12" s="18"/>
      <c r="G12" s="18"/>
      <c r="H12" s="18">
        <f>COUNTIFS(D2:D7,"Laptop",B2:B7,"North")</f>
        <v>1</v>
      </c>
      <c r="I12" s="18"/>
      <c r="J12" s="18"/>
      <c r="K12" s="18"/>
      <c r="L12" s="18"/>
      <c r="N12" s="11">
        <v>26</v>
      </c>
    </row>
    <row r="13" spans="1:18" x14ac:dyDescent="0.3">
      <c r="A13" s="22" t="s">
        <v>92</v>
      </c>
      <c r="B13" s="22"/>
      <c r="C13" s="22"/>
      <c r="D13" s="22"/>
      <c r="E13" s="22"/>
      <c r="F13" s="22"/>
      <c r="G13" s="22"/>
      <c r="H13" s="22"/>
      <c r="I13" s="22"/>
      <c r="J13" s="22"/>
      <c r="M13" s="21" t="s">
        <v>78</v>
      </c>
      <c r="N13" s="21"/>
      <c r="O13" s="21"/>
    </row>
    <row r="14" spans="1:18" x14ac:dyDescent="0.3">
      <c r="A14" s="5" t="str" cm="1">
        <f t="array" ref="A14:J20">_xlfn._xlws.SORT(A1:J7,10,-1)</f>
        <v>Order_ID</v>
      </c>
      <c r="B14" s="5" t="str">
        <v>Region</v>
      </c>
      <c r="C14" s="5" t="str">
        <v>Salesperson</v>
      </c>
      <c r="D14" s="5" t="str">
        <v>Product</v>
      </c>
      <c r="E14" s="5" t="str">
        <v>Quantity</v>
      </c>
      <c r="F14" s="5" t="str">
        <v>Unit_Price</v>
      </c>
      <c r="G14" s="5" t="str">
        <v>Sales_Date</v>
      </c>
      <c r="H14" s="5" t="str">
        <v>Sales_Amount</v>
      </c>
      <c r="I14" s="5" t="str">
        <v>GST_Amount</v>
      </c>
      <c r="J14" s="5" t="str">
        <v>TotalP_Amount</v>
      </c>
      <c r="M14" s="3" t="s">
        <v>11</v>
      </c>
      <c r="N14" s="19">
        <f ca="1">SUMIF(B2:B7,M14,J2:J6)</f>
        <v>173400</v>
      </c>
      <c r="O14" s="19"/>
    </row>
    <row r="15" spans="1:18" x14ac:dyDescent="0.3">
      <c r="A15">
        <v>301</v>
      </c>
      <c r="B15" t="str">
        <v>North</v>
      </c>
      <c r="C15" t="str">
        <v>Amit</v>
      </c>
      <c r="D15" t="str">
        <v>Laptop</v>
      </c>
      <c r="E15">
        <v>2</v>
      </c>
      <c r="F15">
        <v>45000</v>
      </c>
      <c r="G15" t="str">
        <v>05-01-2025</v>
      </c>
      <c r="H15">
        <v>90000</v>
      </c>
      <c r="I15">
        <v>16200</v>
      </c>
      <c r="J15">
        <v>106200</v>
      </c>
      <c r="M15" s="3" t="s">
        <v>15</v>
      </c>
      <c r="N15" s="19">
        <f ca="1">SUMIF(B3:B8,M15,J3:J7)</f>
        <v>190200</v>
      </c>
      <c r="O15" s="19"/>
      <c r="P15">
        <v>6</v>
      </c>
    </row>
    <row r="16" spans="1:18" x14ac:dyDescent="0.3">
      <c r="A16">
        <v>306</v>
      </c>
      <c r="B16" t="str">
        <v>South</v>
      </c>
      <c r="C16" t="str">
        <v>Riya</v>
      </c>
      <c r="D16" t="str">
        <v>Laptop</v>
      </c>
      <c r="E16">
        <v>2</v>
      </c>
      <c r="F16">
        <v>45000</v>
      </c>
      <c r="G16" t="str">
        <v>18-01-2025</v>
      </c>
      <c r="H16">
        <v>90000</v>
      </c>
      <c r="I16">
        <v>16200</v>
      </c>
      <c r="J16">
        <v>106200</v>
      </c>
      <c r="K16" s="11">
        <v>10</v>
      </c>
      <c r="M16" s="3" t="s">
        <v>19</v>
      </c>
      <c r="N16" s="19">
        <f ca="1">SUMIF(B4:B11,M16,J4:J8)</f>
        <v>60480</v>
      </c>
      <c r="O16" s="19"/>
    </row>
    <row r="17" spans="1:18" x14ac:dyDescent="0.3">
      <c r="A17">
        <v>302</v>
      </c>
      <c r="B17" t="str">
        <v>South</v>
      </c>
      <c r="C17" t="str">
        <v>Riya</v>
      </c>
      <c r="D17" t="str">
        <v>Mobile</v>
      </c>
      <c r="E17">
        <v>5</v>
      </c>
      <c r="F17">
        <v>15000</v>
      </c>
      <c r="G17" t="str">
        <v>07-01-2025</v>
      </c>
      <c r="H17">
        <v>75000</v>
      </c>
      <c r="I17">
        <v>9000</v>
      </c>
      <c r="J17">
        <v>84000</v>
      </c>
      <c r="M17" s="3" t="s">
        <v>23</v>
      </c>
      <c r="N17" s="19">
        <f ca="1">SUMIF(B5:B12,M17,J5:J11)</f>
        <v>53100</v>
      </c>
      <c r="O17" s="19"/>
    </row>
    <row r="18" spans="1:18" x14ac:dyDescent="0.3">
      <c r="A18">
        <v>305</v>
      </c>
      <c r="B18" t="str">
        <v>North</v>
      </c>
      <c r="C18" t="str">
        <v>Amit</v>
      </c>
      <c r="D18" t="str">
        <v>Mobile</v>
      </c>
      <c r="E18">
        <v>4</v>
      </c>
      <c r="F18">
        <v>15000</v>
      </c>
      <c r="G18" t="str">
        <v>15-01-2025</v>
      </c>
      <c r="H18">
        <v>60000</v>
      </c>
      <c r="I18">
        <v>7200</v>
      </c>
      <c r="J18">
        <v>67200</v>
      </c>
    </row>
    <row r="19" spans="1:18" x14ac:dyDescent="0.3">
      <c r="A19">
        <v>303</v>
      </c>
      <c r="B19" t="str">
        <v>East</v>
      </c>
      <c r="C19" t="str">
        <v>Kunal</v>
      </c>
      <c r="D19" t="str">
        <v>Tablet</v>
      </c>
      <c r="E19">
        <v>3</v>
      </c>
      <c r="F19">
        <v>18000</v>
      </c>
      <c r="G19" t="str">
        <v>10-01-2025</v>
      </c>
      <c r="H19">
        <v>54000</v>
      </c>
      <c r="I19">
        <v>6480</v>
      </c>
      <c r="J19">
        <v>60480</v>
      </c>
    </row>
    <row r="20" spans="1:18" x14ac:dyDescent="0.3">
      <c r="A20">
        <v>304</v>
      </c>
      <c r="B20" t="str">
        <v>West</v>
      </c>
      <c r="C20" t="str">
        <v>Neha</v>
      </c>
      <c r="D20" t="str">
        <v>Laptop</v>
      </c>
      <c r="E20">
        <v>1</v>
      </c>
      <c r="F20">
        <v>45000</v>
      </c>
      <c r="G20">
        <v>45669</v>
      </c>
      <c r="H20">
        <v>45000</v>
      </c>
      <c r="I20">
        <v>8100</v>
      </c>
      <c r="J20">
        <v>53100</v>
      </c>
    </row>
    <row r="22" spans="1:18" x14ac:dyDescent="0.3">
      <c r="J22" s="16" t="s">
        <v>108</v>
      </c>
      <c r="K22" s="16"/>
      <c r="L22" s="16"/>
      <c r="M22" s="16"/>
      <c r="N22" s="16"/>
      <c r="O22" s="16"/>
      <c r="P22" s="16"/>
    </row>
    <row r="23" spans="1:18" x14ac:dyDescent="0.3">
      <c r="J23" cm="1">
        <f t="array" ref="J23:P26">INDEX(A2:G7,MATCH(_xlfn.UNIQUE(C2:C7),C2:C7,0),{1,2,3,4,5,6,7})</f>
        <v>301</v>
      </c>
      <c r="K23" t="str">
        <v>North</v>
      </c>
      <c r="L23" t="str">
        <v>Amit</v>
      </c>
      <c r="M23" t="str">
        <v>Laptop</v>
      </c>
      <c r="N23">
        <v>2</v>
      </c>
      <c r="O23">
        <v>45000</v>
      </c>
      <c r="P23" t="str">
        <v>05-01-2025</v>
      </c>
    </row>
    <row r="24" spans="1:18" x14ac:dyDescent="0.3">
      <c r="J24">
        <v>306</v>
      </c>
      <c r="K24" t="str">
        <v>South</v>
      </c>
      <c r="L24" t="str">
        <v>Riya</v>
      </c>
      <c r="M24" t="str">
        <v>Laptop</v>
      </c>
      <c r="N24">
        <v>2</v>
      </c>
      <c r="O24">
        <v>45000</v>
      </c>
      <c r="P24" t="str">
        <v>18-01-2025</v>
      </c>
      <c r="R24" s="11">
        <v>28</v>
      </c>
    </row>
    <row r="25" spans="1:18" x14ac:dyDescent="0.3">
      <c r="A25" s="17" t="s">
        <v>103</v>
      </c>
      <c r="B25" s="17"/>
      <c r="C25" s="17"/>
      <c r="D25" s="17"/>
      <c r="E25" s="17"/>
      <c r="F25" s="17"/>
      <c r="G25" s="17"/>
      <c r="J25">
        <v>303</v>
      </c>
      <c r="K25" t="str">
        <v>East</v>
      </c>
      <c r="L25" t="str">
        <v>Kunal</v>
      </c>
      <c r="M25" t="str">
        <v>Tablet</v>
      </c>
      <c r="N25">
        <v>3</v>
      </c>
      <c r="O25">
        <v>18000</v>
      </c>
      <c r="P25" t="str">
        <v>10-01-2025</v>
      </c>
    </row>
    <row r="26" spans="1:18" x14ac:dyDescent="0.3">
      <c r="A26" cm="1">
        <f t="array" ref="A26:G27">_xlfn._xlws.FILTER(A2:G7,(E2:E7&gt;1)*(D2:D7="Laptop"),"")</f>
        <v>301</v>
      </c>
      <c r="B26" t="str">
        <v>North</v>
      </c>
      <c r="C26" t="str">
        <v>Amit</v>
      </c>
      <c r="D26" t="str">
        <v>Laptop</v>
      </c>
      <c r="E26">
        <v>2</v>
      </c>
      <c r="F26">
        <v>45000</v>
      </c>
      <c r="G26" t="str">
        <v>05-01-2025</v>
      </c>
      <c r="H26" s="11">
        <v>25</v>
      </c>
      <c r="J26">
        <v>304</v>
      </c>
      <c r="K26" t="str">
        <v>West</v>
      </c>
      <c r="L26" t="str">
        <v>Neha</v>
      </c>
      <c r="M26" t="str">
        <v>Laptop</v>
      </c>
      <c r="N26">
        <v>1</v>
      </c>
      <c r="O26">
        <v>45000</v>
      </c>
      <c r="P26">
        <v>45669</v>
      </c>
    </row>
    <row r="27" spans="1:18" x14ac:dyDescent="0.3">
      <c r="A27">
        <v>306</v>
      </c>
      <c r="B27" t="str">
        <v>South</v>
      </c>
      <c r="C27" t="str">
        <v>Riya</v>
      </c>
      <c r="D27" t="str">
        <v>Laptop</v>
      </c>
      <c r="E27">
        <v>2</v>
      </c>
      <c r="F27">
        <v>45000</v>
      </c>
      <c r="G27" t="str">
        <v>18-01-2025</v>
      </c>
    </row>
  </sheetData>
  <sortState xmlns:xlrd2="http://schemas.microsoft.com/office/spreadsheetml/2017/richdata2" ref="A2:L7">
    <sortCondition descending="1" ref="J2:J7"/>
  </sortState>
  <mergeCells count="20">
    <mergeCell ref="A11:G11"/>
    <mergeCell ref="M13:O13"/>
    <mergeCell ref="N14:O14"/>
    <mergeCell ref="A13:J13"/>
    <mergeCell ref="P3:R3"/>
    <mergeCell ref="Q8:R11"/>
    <mergeCell ref="J22:P22"/>
    <mergeCell ref="A25:G25"/>
    <mergeCell ref="A12:G12"/>
    <mergeCell ref="H12:L12"/>
    <mergeCell ref="N15:O15"/>
    <mergeCell ref="N16:O16"/>
    <mergeCell ref="N17:O17"/>
    <mergeCell ref="A9:G9"/>
    <mergeCell ref="A10:G10"/>
    <mergeCell ref="H8:O8"/>
    <mergeCell ref="H9:O9"/>
    <mergeCell ref="H10:O10"/>
    <mergeCell ref="H11:O11"/>
    <mergeCell ref="A8:G8"/>
  </mergeCells>
  <conditionalFormatting sqref="J2:J7">
    <cfRule type="cellIs" dxfId="0" priority="1" operator="greaterThan">
      <formula>60000</formula>
    </cfRule>
  </conditionalFormatting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G36" sqref="G36"/>
    </sheetView>
  </sheetViews>
  <sheetFormatPr defaultRowHeight="14.4" x14ac:dyDescent="0.3"/>
  <sheetData>
    <row r="1" spans="1:3" x14ac:dyDescent="0.3">
      <c r="A1" t="s">
        <v>7</v>
      </c>
      <c r="B1" t="s">
        <v>27</v>
      </c>
      <c r="C1" t="s">
        <v>28</v>
      </c>
    </row>
    <row r="2" spans="1:3" x14ac:dyDescent="0.3">
      <c r="A2" t="s">
        <v>13</v>
      </c>
      <c r="B2" t="s">
        <v>29</v>
      </c>
      <c r="C2">
        <v>18</v>
      </c>
    </row>
    <row r="3" spans="1:3" x14ac:dyDescent="0.3">
      <c r="A3" t="s">
        <v>17</v>
      </c>
      <c r="B3" t="s">
        <v>29</v>
      </c>
      <c r="C3">
        <v>12</v>
      </c>
    </row>
    <row r="4" spans="1:3" x14ac:dyDescent="0.3">
      <c r="A4" t="s">
        <v>21</v>
      </c>
      <c r="B4" t="s">
        <v>29</v>
      </c>
      <c r="C4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workbookViewId="0">
      <pane ySplit="1" topLeftCell="A2" activePane="bottomLeft" state="frozen"/>
      <selection pane="bottomLeft" activeCell="J12" sqref="A1:XFD1048576"/>
    </sheetView>
  </sheetViews>
  <sheetFormatPr defaultRowHeight="14.4" x14ac:dyDescent="0.3"/>
  <cols>
    <col min="1" max="1" width="10" bestFit="1" customWidth="1"/>
    <col min="2" max="2" width="5.88671875" bestFit="1" customWidth="1"/>
    <col min="3" max="3" width="6.109375" bestFit="1" customWidth="1"/>
    <col min="4" max="4" width="8.21875" bestFit="1" customWidth="1"/>
    <col min="5" max="5" width="5.21875" bestFit="1" customWidth="1"/>
    <col min="6" max="6" width="12.77734375" bestFit="1" customWidth="1"/>
    <col min="7" max="7" width="12.5546875" bestFit="1" customWidth="1"/>
    <col min="8" max="8" width="10.21875" bestFit="1" customWidth="1"/>
    <col min="9" max="9" width="12.21875" bestFit="1" customWidth="1"/>
  </cols>
  <sheetData>
    <row r="1" spans="1:14" x14ac:dyDescent="0.3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72</v>
      </c>
      <c r="H1" s="12" t="s">
        <v>85</v>
      </c>
      <c r="I1" s="12" t="s">
        <v>88</v>
      </c>
    </row>
    <row r="2" spans="1:14" x14ac:dyDescent="0.3">
      <c r="A2" s="9">
        <v>1</v>
      </c>
      <c r="B2" s="9" t="s">
        <v>36</v>
      </c>
      <c r="C2" s="9">
        <v>78</v>
      </c>
      <c r="D2" s="9">
        <v>82</v>
      </c>
      <c r="E2" s="9">
        <v>85</v>
      </c>
      <c r="F2" s="9">
        <v>92</v>
      </c>
      <c r="G2" s="9">
        <f>AVERAGE(C2:F2)</f>
        <v>84.25</v>
      </c>
      <c r="H2" s="9" t="str">
        <f>IF(F2&gt;=85,"Eligible","Not Eligible")</f>
        <v>Eligible</v>
      </c>
      <c r="I2" s="9" t="str">
        <f>_xlfn.CONCAT(A2,"_",B2)</f>
        <v>1_Rahul</v>
      </c>
    </row>
    <row r="3" spans="1:14" x14ac:dyDescent="0.3">
      <c r="A3" s="9">
        <v>2</v>
      </c>
      <c r="B3" s="9" t="s">
        <v>37</v>
      </c>
      <c r="C3" s="9">
        <v>88</v>
      </c>
      <c r="D3" s="9">
        <v>91</v>
      </c>
      <c r="E3" s="9">
        <v>90</v>
      </c>
      <c r="F3" s="9">
        <v>96</v>
      </c>
      <c r="G3" s="9">
        <f t="shared" ref="G3:G6" si="0">AVERAGE(C3:F3)</f>
        <v>91.25</v>
      </c>
      <c r="H3" s="9" t="str">
        <f t="shared" ref="H3:H6" si="1">IF(F3&gt;=85,"Eligible","Not Eligible")</f>
        <v>Eligible</v>
      </c>
      <c r="I3" s="9" t="str">
        <f t="shared" ref="I3:I6" si="2">_xlfn.CONCAT(A3,"_",B3)</f>
        <v>2_Sneha</v>
      </c>
      <c r="K3" s="14" t="s">
        <v>106</v>
      </c>
      <c r="L3" s="14"/>
      <c r="M3" s="14"/>
      <c r="N3" t="s">
        <v>109</v>
      </c>
    </row>
    <row r="4" spans="1:14" x14ac:dyDescent="0.3">
      <c r="A4" s="9">
        <v>3</v>
      </c>
      <c r="B4" s="9" t="s">
        <v>38</v>
      </c>
      <c r="C4" s="9">
        <v>65</v>
      </c>
      <c r="D4" s="9">
        <v>70</v>
      </c>
      <c r="E4" s="9">
        <v>72</v>
      </c>
      <c r="F4" s="9">
        <v>85</v>
      </c>
      <c r="G4" s="9">
        <f t="shared" si="0"/>
        <v>73</v>
      </c>
      <c r="H4" s="9" t="str">
        <f t="shared" si="1"/>
        <v>Eligible</v>
      </c>
      <c r="I4" s="9" t="str">
        <f t="shared" si="2"/>
        <v>3_Arjun</v>
      </c>
    </row>
    <row r="5" spans="1:14" x14ac:dyDescent="0.3">
      <c r="A5" s="9">
        <v>4</v>
      </c>
      <c r="B5" s="9" t="s">
        <v>39</v>
      </c>
      <c r="C5" s="9">
        <v>92</v>
      </c>
      <c r="D5" s="9">
        <v>89</v>
      </c>
      <c r="E5" s="9">
        <v>94</v>
      </c>
      <c r="F5" s="9">
        <v>98</v>
      </c>
      <c r="G5" s="9">
        <f t="shared" si="0"/>
        <v>93.25</v>
      </c>
      <c r="H5" s="9" t="str">
        <f t="shared" si="1"/>
        <v>Eligible</v>
      </c>
      <c r="I5" s="9" t="str">
        <f t="shared" si="2"/>
        <v>4_Pooja</v>
      </c>
    </row>
    <row r="6" spans="1:14" x14ac:dyDescent="0.3">
      <c r="A6" s="9">
        <v>5</v>
      </c>
      <c r="B6" s="9" t="s">
        <v>40</v>
      </c>
      <c r="C6" s="9">
        <v>55</v>
      </c>
      <c r="D6" s="9">
        <v>60</v>
      </c>
      <c r="E6" s="9">
        <v>58</v>
      </c>
      <c r="F6" s="9">
        <v>80</v>
      </c>
      <c r="G6" s="9">
        <f t="shared" si="0"/>
        <v>63.25</v>
      </c>
      <c r="H6" s="9" t="str">
        <f t="shared" si="1"/>
        <v>Not Eligible</v>
      </c>
      <c r="I6" s="9" t="str">
        <f t="shared" si="2"/>
        <v>5_Vikas</v>
      </c>
    </row>
    <row r="9" spans="1:14" x14ac:dyDescent="0.3">
      <c r="A9" s="24" t="s">
        <v>83</v>
      </c>
      <c r="B9" s="24"/>
      <c r="C9" s="24"/>
      <c r="D9" s="24"/>
      <c r="E9" s="24" t="str">
        <f>INDEX(B2:G6,MATCH(MAX(G2:G6),G2:G6,0),1)</f>
        <v>Pooja</v>
      </c>
      <c r="F9" s="24"/>
      <c r="G9" s="24"/>
    </row>
    <row r="10" spans="1:14" x14ac:dyDescent="0.3">
      <c r="A10" s="25" t="s">
        <v>84</v>
      </c>
      <c r="B10" s="25"/>
      <c r="C10" s="25"/>
      <c r="D10" s="25"/>
      <c r="E10" s="25">
        <f>COUNTIF(F2:F6,"&gt;90")</f>
        <v>3</v>
      </c>
      <c r="F10" s="25"/>
      <c r="G10" s="25"/>
      <c r="I10" s="14" t="s">
        <v>105</v>
      </c>
      <c r="J10" s="14"/>
      <c r="K10" s="14"/>
    </row>
    <row r="11" spans="1:14" x14ac:dyDescent="0.3">
      <c r="A11" s="23" t="s">
        <v>86</v>
      </c>
      <c r="B11" s="23"/>
      <c r="C11" s="23"/>
      <c r="D11" s="23"/>
      <c r="E11" s="23">
        <f>MEDIAN(D2:D6)</f>
        <v>82</v>
      </c>
      <c r="F11" s="23"/>
      <c r="G11" s="23"/>
    </row>
    <row r="12" spans="1:14" x14ac:dyDescent="0.3">
      <c r="A12" t="s">
        <v>87</v>
      </c>
      <c r="E12" s="23">
        <f>_xlfn.STDEV.S(E2:E6)</f>
        <v>14.737706741552426</v>
      </c>
      <c r="F12" s="23"/>
      <c r="G12" s="23"/>
    </row>
  </sheetData>
  <sheetProtection algorithmName="SHA-512" hashValue="U+2D/fcbv+HXbY3SC+zXn4L5X+7+2DziSpvZCnRGqDY6AZf3baKDqL0dk0A2xy2rAIHNKnC0BchkSgMn+sn9mg==" saltValue="Bxs+xc/hmXJ9dembwA/0/w==" spinCount="100000" sheet="1" objects="1" scenarios="1" selectLockedCells="1" selectUnlockedCells="1"/>
  <mergeCells count="9">
    <mergeCell ref="K3:M3"/>
    <mergeCell ref="I10:K10"/>
    <mergeCell ref="E12:G12"/>
    <mergeCell ref="A9:D9"/>
    <mergeCell ref="E9:G9"/>
    <mergeCell ref="A10:D10"/>
    <mergeCell ref="E10:G10"/>
    <mergeCell ref="A11:D11"/>
    <mergeCell ref="E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abSelected="1" topLeftCell="A9" workbookViewId="0">
      <selection activeCell="H25" sqref="H25"/>
    </sheetView>
  </sheetViews>
  <sheetFormatPr defaultRowHeight="14.4" x14ac:dyDescent="0.3"/>
  <sheetData>
    <row r="1" spans="1:10" x14ac:dyDescent="0.3">
      <c r="A1" t="s">
        <v>41</v>
      </c>
      <c r="J1">
        <v>2</v>
      </c>
    </row>
    <row r="2" spans="1:10" x14ac:dyDescent="0.3">
      <c r="A2" t="s">
        <v>42</v>
      </c>
      <c r="J2">
        <v>2</v>
      </c>
    </row>
    <row r="3" spans="1:10" x14ac:dyDescent="0.3">
      <c r="A3" t="s">
        <v>43</v>
      </c>
      <c r="J3">
        <v>2</v>
      </c>
    </row>
    <row r="4" spans="1:10" x14ac:dyDescent="0.3">
      <c r="A4" t="s">
        <v>44</v>
      </c>
      <c r="J4">
        <v>2</v>
      </c>
    </row>
    <row r="5" spans="1:10" x14ac:dyDescent="0.3">
      <c r="A5" t="s">
        <v>45</v>
      </c>
      <c r="J5">
        <v>2</v>
      </c>
    </row>
    <row r="6" spans="1:10" x14ac:dyDescent="0.3">
      <c r="A6" t="s">
        <v>46</v>
      </c>
      <c r="J6">
        <v>2</v>
      </c>
    </row>
    <row r="7" spans="1:10" x14ac:dyDescent="0.3">
      <c r="A7" t="s">
        <v>47</v>
      </c>
      <c r="J7">
        <v>2</v>
      </c>
    </row>
    <row r="8" spans="1:10" x14ac:dyDescent="0.3">
      <c r="A8" t="s">
        <v>48</v>
      </c>
      <c r="J8">
        <v>2</v>
      </c>
    </row>
    <row r="9" spans="1:10" x14ac:dyDescent="0.3">
      <c r="A9" t="s">
        <v>49</v>
      </c>
      <c r="J9">
        <v>2</v>
      </c>
    </row>
    <row r="10" spans="1:10" x14ac:dyDescent="0.3">
      <c r="A10" t="s">
        <v>50</v>
      </c>
      <c r="J10">
        <v>2</v>
      </c>
    </row>
    <row r="11" spans="1:10" x14ac:dyDescent="0.3">
      <c r="A11" t="s">
        <v>51</v>
      </c>
      <c r="J11">
        <v>2</v>
      </c>
    </row>
    <row r="12" spans="1:10" x14ac:dyDescent="0.3">
      <c r="A12" t="s">
        <v>52</v>
      </c>
      <c r="J12">
        <v>2</v>
      </c>
    </row>
    <row r="13" spans="1:10" x14ac:dyDescent="0.3">
      <c r="A13" t="s">
        <v>53</v>
      </c>
      <c r="J13">
        <v>2</v>
      </c>
    </row>
    <row r="14" spans="1:10" x14ac:dyDescent="0.3">
      <c r="A14" t="s">
        <v>54</v>
      </c>
      <c r="J14">
        <v>2</v>
      </c>
    </row>
    <row r="15" spans="1:10" x14ac:dyDescent="0.3">
      <c r="A15" t="s">
        <v>55</v>
      </c>
      <c r="J15">
        <v>2</v>
      </c>
    </row>
    <row r="16" spans="1:10" x14ac:dyDescent="0.3">
      <c r="A16" t="s">
        <v>56</v>
      </c>
      <c r="J16">
        <v>2</v>
      </c>
    </row>
    <row r="17" spans="1:10" x14ac:dyDescent="0.3">
      <c r="A17" t="s">
        <v>57</v>
      </c>
      <c r="J17">
        <v>2</v>
      </c>
    </row>
    <row r="18" spans="1:10" x14ac:dyDescent="0.3">
      <c r="A18" t="s">
        <v>58</v>
      </c>
      <c r="J18">
        <v>2</v>
      </c>
    </row>
    <row r="19" spans="1:10" x14ac:dyDescent="0.3">
      <c r="A19" t="s">
        <v>59</v>
      </c>
      <c r="J19">
        <v>2</v>
      </c>
    </row>
    <row r="20" spans="1:10" x14ac:dyDescent="0.3">
      <c r="A20" t="s">
        <v>60</v>
      </c>
      <c r="J20">
        <v>2</v>
      </c>
    </row>
    <row r="21" spans="1:10" x14ac:dyDescent="0.3">
      <c r="A21" t="s">
        <v>61</v>
      </c>
      <c r="J21">
        <v>2</v>
      </c>
    </row>
    <row r="22" spans="1:10" x14ac:dyDescent="0.3">
      <c r="A22" t="s">
        <v>62</v>
      </c>
      <c r="J22">
        <v>2</v>
      </c>
    </row>
    <row r="23" spans="1:10" x14ac:dyDescent="0.3">
      <c r="A23" t="s">
        <v>63</v>
      </c>
      <c r="J23">
        <v>2</v>
      </c>
    </row>
    <row r="24" spans="1:10" x14ac:dyDescent="0.3">
      <c r="A24" t="s">
        <v>64</v>
      </c>
      <c r="J24">
        <v>2</v>
      </c>
    </row>
    <row r="25" spans="1:10" x14ac:dyDescent="0.3">
      <c r="A25" t="s">
        <v>65</v>
      </c>
      <c r="J25">
        <v>2</v>
      </c>
    </row>
    <row r="26" spans="1:10" x14ac:dyDescent="0.3">
      <c r="A26" t="s">
        <v>66</v>
      </c>
      <c r="J26">
        <v>2</v>
      </c>
    </row>
    <row r="27" spans="1:10" x14ac:dyDescent="0.3">
      <c r="A27" t="s">
        <v>67</v>
      </c>
      <c r="J27">
        <v>2</v>
      </c>
    </row>
    <row r="28" spans="1:10" x14ac:dyDescent="0.3">
      <c r="A28" t="s">
        <v>68</v>
      </c>
      <c r="J28">
        <v>2</v>
      </c>
    </row>
    <row r="29" spans="1:10" x14ac:dyDescent="0.3">
      <c r="A29" t="s">
        <v>69</v>
      </c>
      <c r="J29">
        <v>2</v>
      </c>
    </row>
    <row r="30" spans="1:10" x14ac:dyDescent="0.3">
      <c r="A30" t="s">
        <v>70</v>
      </c>
      <c r="J30">
        <v>2</v>
      </c>
    </row>
    <row r="32" spans="1:10" x14ac:dyDescent="0.3">
      <c r="J32">
        <f>SUM(J1:J30)</f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0309-1180-4376-BF95-D41FB1F93250}">
  <dimension ref="A1:M6"/>
  <sheetViews>
    <sheetView workbookViewId="0">
      <selection activeCell="A2" sqref="A2:G8"/>
    </sheetView>
  </sheetViews>
  <sheetFormatPr defaultRowHeight="14.4" x14ac:dyDescent="0.3"/>
  <cols>
    <col min="1" max="1" width="18.33203125" bestFit="1" customWidth="1"/>
    <col min="2" max="2" width="7.109375" bestFit="1" customWidth="1"/>
    <col min="3" max="3" width="11.6640625" bestFit="1" customWidth="1"/>
    <col min="4" max="4" width="7.88671875" bestFit="1" customWidth="1"/>
    <col min="5" max="5" width="8.6640625" bestFit="1" customWidth="1"/>
    <col min="6" max="6" width="10.33203125" bestFit="1" customWidth="1"/>
    <col min="7" max="7" width="10.6640625" bestFit="1" customWidth="1"/>
  </cols>
  <sheetData>
    <row r="1" spans="1:13" x14ac:dyDescent="0.3">
      <c r="A1" t="s">
        <v>101</v>
      </c>
    </row>
    <row r="2" spans="1:13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I2" t="str" cm="1">
        <f t="array" ref="I2:M6">_xlfn.UNIQUE(C2:G8,0,1)</f>
        <v>Salesperson</v>
      </c>
      <c r="J2" t="str">
        <v>Product</v>
      </c>
      <c r="K2" t="str">
        <v>Quantity</v>
      </c>
      <c r="L2" t="str">
        <v>Unit_Price</v>
      </c>
      <c r="M2" t="str">
        <v>Sales_Date</v>
      </c>
    </row>
    <row r="3" spans="1:13" x14ac:dyDescent="0.3">
      <c r="A3">
        <v>301</v>
      </c>
      <c r="B3" t="s">
        <v>11</v>
      </c>
      <c r="C3" t="s">
        <v>12</v>
      </c>
      <c r="D3" t="s">
        <v>13</v>
      </c>
      <c r="E3">
        <v>2</v>
      </c>
      <c r="F3">
        <v>45000</v>
      </c>
      <c r="G3" t="s">
        <v>14</v>
      </c>
      <c r="I3" t="str">
        <v>Amit</v>
      </c>
      <c r="J3" t="str">
        <v>Laptop</v>
      </c>
      <c r="K3">
        <v>2</v>
      </c>
      <c r="L3">
        <v>45000</v>
      </c>
      <c r="M3" t="str">
        <v>05-01-2025</v>
      </c>
    </row>
    <row r="4" spans="1:13" x14ac:dyDescent="0.3">
      <c r="A4">
        <v>306</v>
      </c>
      <c r="B4" t="s">
        <v>15</v>
      </c>
      <c r="C4" t="s">
        <v>16</v>
      </c>
      <c r="D4" t="s">
        <v>13</v>
      </c>
      <c r="E4">
        <v>2</v>
      </c>
      <c r="F4">
        <v>45000</v>
      </c>
      <c r="G4" t="s">
        <v>26</v>
      </c>
      <c r="I4" t="str">
        <v>Riya</v>
      </c>
      <c r="J4" t="str">
        <v>Laptop</v>
      </c>
      <c r="K4">
        <v>2</v>
      </c>
      <c r="L4">
        <v>45000</v>
      </c>
      <c r="M4" t="str">
        <v>18-01-2025</v>
      </c>
    </row>
    <row r="5" spans="1:13" x14ac:dyDescent="0.3">
      <c r="A5">
        <v>303</v>
      </c>
      <c r="B5" t="s">
        <v>19</v>
      </c>
      <c r="C5" t="s">
        <v>20</v>
      </c>
      <c r="D5" t="s">
        <v>21</v>
      </c>
      <c r="E5">
        <v>3</v>
      </c>
      <c r="F5">
        <v>18000</v>
      </c>
      <c r="G5" t="s">
        <v>22</v>
      </c>
      <c r="H5" t="s">
        <v>102</v>
      </c>
      <c r="I5" t="str">
        <v>Kunal</v>
      </c>
      <c r="J5" t="str">
        <v>Tablet</v>
      </c>
      <c r="K5">
        <v>3</v>
      </c>
      <c r="L5">
        <v>18000</v>
      </c>
      <c r="M5" t="str">
        <v>10-01-2025</v>
      </c>
    </row>
    <row r="6" spans="1:13" x14ac:dyDescent="0.3">
      <c r="A6">
        <v>304</v>
      </c>
      <c r="B6" t="s">
        <v>23</v>
      </c>
      <c r="C6" t="s">
        <v>24</v>
      </c>
      <c r="D6" t="s">
        <v>13</v>
      </c>
      <c r="E6">
        <v>1</v>
      </c>
      <c r="F6">
        <v>45000</v>
      </c>
      <c r="G6" s="8">
        <v>45669</v>
      </c>
      <c r="I6" t="str">
        <v>Neha</v>
      </c>
      <c r="J6" t="str">
        <v>Laptop</v>
      </c>
      <c r="K6">
        <v>1</v>
      </c>
      <c r="L6">
        <v>45000</v>
      </c>
      <c r="M6">
        <v>45669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Pivots</vt:lpstr>
      <vt:lpstr>Sales_Data</vt:lpstr>
      <vt:lpstr>Product_Master</vt:lpstr>
      <vt:lpstr>Student_Marks</vt:lpstr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SHARMA</cp:lastModifiedBy>
  <dcterms:created xsi:type="dcterms:W3CDTF">2025-12-20T09:26:06Z</dcterms:created>
  <dcterms:modified xsi:type="dcterms:W3CDTF">2026-06-07T07:51:28Z</dcterms:modified>
</cp:coreProperties>
</file>